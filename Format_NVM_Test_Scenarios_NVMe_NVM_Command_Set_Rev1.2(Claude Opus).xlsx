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ormat NVM Test Scenarios" sheetId="1" state="visible" r:id="rId3"/>
    <sheet name="Summary &amp; Coverage" sheetId="2" state="visible" r:id="rId4"/>
  </sheets>
  <definedNames>
    <definedName function="false" hidden="true" localSheetId="0" name="_xlnm._FilterDatabase" vbProcedure="false">'Format NVM Test Scenarios'!$A$1:$K$63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<sst xmlns="http://schemas.openxmlformats.org/spreadsheetml/2006/main" count="784" uniqueCount="552">
  <si>
    <t xml:space="preserve">Test Case ID</t>
  </si>
  <si>
    <t xml:space="preserve">Name</t>
  </si>
  <si>
    <t xml:space="preserve">Label</t>
  </si>
  <si>
    <t xml:space="preserve">Description</t>
  </si>
  <si>
    <t xml:space="preserve">Preconditions</t>
  </si>
  <si>
    <t xml:space="preserve">Steps</t>
  </si>
  <si>
    <t xml:space="preserve">Expected Result</t>
  </si>
  <si>
    <t xml:space="preserve">Test Category</t>
  </si>
  <si>
    <t xml:space="preserve">Testing Technique</t>
  </si>
  <si>
    <t xml:space="preserve">Functional Area</t>
  </si>
  <si>
    <t xml:space="preserve">Spec Reference</t>
  </si>
  <si>
    <t xml:space="preserve">TC_FORMAT_NVM_001</t>
  </si>
  <si>
    <t xml:space="preserve">Format with valid Format Index (LBAF 0)</t>
  </si>
  <si>
    <t xml:space="preserve">FORMAT_NVM_VALID_LBAF_LOW</t>
  </si>
  <si>
    <t xml:space="preserve">Verify Format NVM command succeeds when Format Index points to LBA Format 0 (lower boundary), which is the default supported LBA format from Identify Namespace.</t>
  </si>
  <si>
    <t xml:space="preserve">1. Controller is initialized and admin queue is operational.
2. Target namespace is attached and active.
3. LBA Format 0 is supported as reported in Identify Namespace LBA Format field.
4. No outstanding I/O on namespace.</t>
  </si>
  <si>
    <t xml:space="preserve">1. Issue Identify Namespace (CNS=00h) and read LBAF[0] capabilities.
2. Issue Format NVM with NSID=valid, CDW10.LBAF=0, PI=000b, PIL=0, MSET=0.
3. Wait for command completion.
4. Re-issue Identify Namespace and verify FLBAS field reflects Format Index 0.</t>
  </si>
  <si>
    <t xml:space="preserve">Command completes with status Successful Completion (00h). FLBAS field in Identify Namespace indicates LBA Format 0. Namespace is usable.</t>
  </si>
  <si>
    <t xml:space="preserve">Positive</t>
  </si>
  <si>
    <t xml:space="preserve">Boundary Value Analysis</t>
  </si>
  <si>
    <t xml:space="preserve">Format Index validation</t>
  </si>
  <si>
    <t xml:space="preserve">Sec 4.1.2; Fig 90 (CDW10)</t>
  </si>
  <si>
    <t xml:space="preserve">TC_FORMAT_NVM_002</t>
  </si>
  <si>
    <t xml:space="preserve">Format with valid Format Index (max supported LBAF)</t>
  </si>
  <si>
    <t xml:space="preserve">FORMAT_NVM_VALID_LBAF_HIGH</t>
  </si>
  <si>
    <t xml:space="preserve">Verify Format NVM command succeeds when Format Index points to the highest LBA Format index supported by the namespace (NLBAF boundary upper).</t>
  </si>
  <si>
    <t xml:space="preserve">1. Controller initialized.
2. Identify Namespace returns NLBAF &gt; 0 indicating multiple supported LBA formats.
3. Namespace attached and idle.</t>
  </si>
  <si>
    <t xml:space="preserve">1. Read NLBAF from Identify Namespace and determine highest supported Format Index N (where N &lt;= NLBAF).
2. Issue Format NVM with CDW10.LBAF=N, PI=000b, PIL=0, MSET as supported.
3. Wait for completion.
4. Re-read FLBAS and confirm change.</t>
  </si>
  <si>
    <t xml:space="preserve">Command completes with Successful Completion (00h). FLBAS field reflects Format Index N. LBA size and metadata size match the LBAF[N] entry.</t>
  </si>
  <si>
    <t xml:space="preserve">Sec 4.1.2</t>
  </si>
  <si>
    <t xml:space="preserve">TC_FORMAT_NVM_003</t>
  </si>
  <si>
    <t xml:space="preserve">Format with Format Index above max supported LBAF</t>
  </si>
  <si>
    <t xml:space="preserve">FORMAT_NVM_INVALID_LBAF_OUT_OF_RANGE</t>
  </si>
  <si>
    <t xml:space="preserve">Verify Format NVM command is aborted when Format Index references an LBA Format index greater than NLBAF reported by Identify Namespace.</t>
  </si>
  <si>
    <t xml:space="preserve">1. Controller initialized.
2. Identify Namespace returns NLBAF=N (so valid LBAF indices are 0..N).
3. Namespace attached.</t>
  </si>
  <si>
    <t xml:space="preserve">1. Read NLBAF from Identify Namespace.
2. Issue Format NVM with CDW10.LBAF=(N+1).
3. Observe completion status.</t>
  </si>
  <si>
    <t xml:space="preserve">Command aborts with status code Invalid Format (0Ah) or Invalid Field in Command. Namespace LBA Format remains unchanged (verify FLBAS unchanged).</t>
  </si>
  <si>
    <t xml:space="preserve">Negative</t>
  </si>
  <si>
    <t xml:space="preserve">TC_FORMAT_NVM_004</t>
  </si>
  <si>
    <t xml:space="preserve">Format with Format Index = 0xF (all-ones nibble)</t>
  </si>
  <si>
    <t xml:space="preserve">FORMAT_NVM_INVALID_LBAF_MAX_FIELD</t>
  </si>
  <si>
    <t xml:space="preserve">Error guessing: verify behavior when LBAF field is set to its max representable value (0xF or higher per extended bits) on a device that does not support that LBAF.</t>
  </si>
  <si>
    <t xml:space="preserve">1. Identify Namespace shows NLBAF &lt; 0xF.
2. Namespace attached.</t>
  </si>
  <si>
    <t xml:space="preserve">1. Issue Format NVM with CDW10.LBAF=0xF.
2. Observe completion status.</t>
  </si>
  <si>
    <t xml:space="preserve">Command aborts with Invalid Format (0Ah) or equivalent error. Namespace remains unchanged.</t>
  </si>
  <si>
    <t xml:space="preserve">Error Guessing</t>
  </si>
  <si>
    <t xml:space="preserve">TC_FORMAT_NVM_005</t>
  </si>
  <si>
    <t xml:space="preserve">NSZE and NCAP update after change of logical block size</t>
  </si>
  <si>
    <t xml:space="preserve">FORMAT_NVM_NSZE_NCAP_CHANGE</t>
  </si>
  <si>
    <t xml:space="preserve">Verify that when Format NVM changes the logical block size, the resulting NSZE and NCAP fields in Identify Namespace may differ from the previous values.</t>
  </si>
  <si>
    <t xml:space="preserve">1. Namespace currently formatted with LBA size = 512B (LBAF[0]).
2. LBAF[1] supports 4096B blocks.
3. Capture pre-format NSZE and NCAP.</t>
  </si>
  <si>
    <t xml:space="preserve">1. Read pre-format NSZE and NCAP from Identify Namespace.
2. Issue Format NVM with LBAF=1 (4096B block).
3. Wait for completion.
4. Re-read NSZE, NCAP from Identify Namespace.</t>
  </si>
  <si>
    <t xml:space="preserve">Command completes successfully. New NSZE and NCAP reflect the new LBA size (typically 1/8 of previous values for 512B-&gt;4096B). Total raw capacity (NSZE * LBA size) is consistent.</t>
  </si>
  <si>
    <t xml:space="preserve">Equivalence Partitioning</t>
  </si>
  <si>
    <t xml:space="preserve">Namespace size/capacity behavior</t>
  </si>
  <si>
    <t xml:space="preserve">TC_FORMAT_NVM_006</t>
  </si>
  <si>
    <t xml:space="preserve">NSZE and NCAP unchanged when LBA size is identical</t>
  </si>
  <si>
    <t xml:space="preserve">FORMAT_NVM_NSZE_NCAP_NO_CHANGE</t>
  </si>
  <si>
    <t xml:space="preserve">Corner case: verify NSZE and NCAP are unchanged when Format NVM is issued with the same LBA Format index as currently configured (no logical block size change).</t>
  </si>
  <si>
    <t xml:space="preserve">1. Namespace formatted with LBAF=K.
2. Capture pre-format NSZE, NCAP.</t>
  </si>
  <si>
    <t xml:space="preserve">1. Read NSZE, NCAP.
2. Issue Format NVM with LBAF=K (same as current).
3. Read NSZE, NCAP again.</t>
  </si>
  <si>
    <t xml:space="preserve">Command completes successfully. NSZE and NCAP remain identical to previous values. Namespace data is erased per Format semantics.</t>
  </si>
  <si>
    <t xml:space="preserve">Corner</t>
  </si>
  <si>
    <t xml:space="preserve">Exploratory</t>
  </si>
  <si>
    <t xml:space="preserve">TC_FORMAT_NVM_007</t>
  </si>
  <si>
    <t xml:space="preserve">LBAFEE=0, Format with 16b Guard PI and STS=0</t>
  </si>
  <si>
    <t xml:space="preserve">FORMAT_NVM_LBAFEE0_16B_STS0_OK</t>
  </si>
  <si>
    <t xml:space="preserve">Verify that Format NVM succeeds with 16b Guard Protection Information when STS=0 even though LBAFEE is not enabled (the spec only restricts STS != 0 in this case).</t>
  </si>
  <si>
    <t xml:space="preserve">1. LBAFEE in Host Behavior Support feature is NOT set to 1h (cleared/0h).
2. Target LBAF supports 16b Guard PI and has STS=0.</t>
  </si>
  <si>
    <t xml:space="preserve">1. Read Host Behavior Support feature; confirm LBAFEE != 1h.
2. Issue Format NVM with LBAF that uses 16b Guard PI and STS=0, PI=001b (Type 1).
3. Wait for completion.</t>
  </si>
  <si>
    <t xml:space="preserve">Command completes with Successful Completion. Namespace is formatted with 16b Guard PI.</t>
  </si>
  <si>
    <t xml:space="preserve">LBAFEE / extended PI handling</t>
  </si>
  <si>
    <t xml:space="preserve">Sec 4.1.2 (LBAFEE rule)</t>
  </si>
  <si>
    <t xml:space="preserve">TC_FORMAT_NVM_008</t>
  </si>
  <si>
    <t xml:space="preserve">LBAFEE=0, Format with 16b Guard PI and STS != 0</t>
  </si>
  <si>
    <t xml:space="preserve">FORMAT_NVM_LBAFEE0_16B_STSNZ_FAIL</t>
  </si>
  <si>
    <t xml:space="preserve">Verify Format NVM is aborted with Invalid Namespace or Format when LBAFEE != 1h and the requested LBA format uses 16b Guard PI with a non-zero STS field.</t>
  </si>
  <si>
    <t xml:space="preserve">1. LBAFEE NOT set to 1h.
2. Device supports an LBAF with 16b Guard PI where STS field is non-zero.</t>
  </si>
  <si>
    <t xml:space="preserve">1. Verify LBAFEE is not 1h via Get Features.
2. Issue Format NVM specifying that LBAF (16b Guard PI, STS != 0).
3. Observe completion.</t>
  </si>
  <si>
    <t xml:space="preserve">Command aborts with status code Invalid Namespace or Format (status code per Base spec). Namespace LBA format remains unchanged.</t>
  </si>
  <si>
    <t xml:space="preserve">Sec 4.1.2 bullet (a)</t>
  </si>
  <si>
    <t xml:space="preserve">TC_FORMAT_NVM_009</t>
  </si>
  <si>
    <t xml:space="preserve">LBAFEE=0, Format with 32b Guard Protection Information</t>
  </si>
  <si>
    <t xml:space="preserve">FORMAT_NVM_LBAFEE0_32B_FAIL</t>
  </si>
  <si>
    <t xml:space="preserve">Verify Format NVM is aborted with Invalid Namespace or Format when LBAFEE != 1h and requested LBAF uses 32b Guard Protection Information.</t>
  </si>
  <si>
    <t xml:space="preserve">1. LBAFEE NOT set to 1h.
2. Device supports an LBAF that uses 32b Guard PI.</t>
  </si>
  <si>
    <t xml:space="preserve">1. Confirm LBAFEE != 1h.
2. Issue Format NVM specifying the 32b Guard PI LBAF.
3. Observe completion.</t>
  </si>
  <si>
    <t xml:space="preserve">Command aborts with status code Invalid Namespace or Format. Namespace remains unchanged.</t>
  </si>
  <si>
    <t xml:space="preserve">Sec 4.1.2 bullet (b)</t>
  </si>
  <si>
    <t xml:space="preserve">TC_FORMAT_NVM_010</t>
  </si>
  <si>
    <t xml:space="preserve">LBAFEE=0, Format with 64b Guard Protection Information</t>
  </si>
  <si>
    <t xml:space="preserve">FORMAT_NVM_LBAFEE0_64B_FAIL</t>
  </si>
  <si>
    <t xml:space="preserve">Verify Format NVM is aborted with Invalid Namespace or Format when LBAFEE != 1h and requested LBAF uses 64b Guard Protection Information.</t>
  </si>
  <si>
    <t xml:space="preserve">1. LBAFEE NOT set to 1h.
2. Device supports an LBAF using 64b Guard PI.</t>
  </si>
  <si>
    <t xml:space="preserve">1. Confirm LBAFEE != 1h.
2. Issue Format NVM specifying the 64b Guard PI LBAF.
3. Observe completion.</t>
  </si>
  <si>
    <t xml:space="preserve">Sec 4.1.2 bullet (c)</t>
  </si>
  <si>
    <t xml:space="preserve">TC_FORMAT_NVM_011</t>
  </si>
  <si>
    <t xml:space="preserve">LBAFEE=0 on namespace already formatted with 32b Guard PI</t>
  </si>
  <si>
    <t xml:space="preserve">FORMAT_NVM_LBAFEE0_NS_ALREADY_32B_FAIL</t>
  </si>
  <si>
    <t xml:space="preserve">Verify Format NVM is aborted with Invalid Namespace or Format when the target namespace is already formatted with 32b Guard PI and LBAFEE is not 1h, regardless of the new LBAF requested.</t>
  </si>
  <si>
    <t xml:space="preserve">1. Namespace is currently formatted with 32b Guard PI.
2. Host clears LBAFEE to 0h via Set Features (Host Behavior Support).</t>
  </si>
  <si>
    <t xml:space="preserve">1. Verify LBAFEE = 0h.
2. Issue Format NVM (any new LBAF) on this namespace.
3. Observe completion.</t>
  </si>
  <si>
    <t xml:space="preserve">Command aborts with status code Invalid Namespace or Format because the affected namespace is currently formatted with 32b Guard PI.</t>
  </si>
  <si>
    <t xml:space="preserve">Sec 4.1.2 ('specifies an individual namespace formatted with')</t>
  </si>
  <si>
    <t xml:space="preserve">TC_FORMAT_NVM_012</t>
  </si>
  <si>
    <t xml:space="preserve">LBAFEE=0 on namespace already formatted with 64b Guard PI</t>
  </si>
  <si>
    <t xml:space="preserve">FORMAT_NVM_LBAFEE0_NS_ALREADY_64B_FAIL</t>
  </si>
  <si>
    <t xml:space="preserve">Verify Format NVM is aborted when target namespace is already formatted with 64b Guard PI and LBAFEE is not 1h.</t>
  </si>
  <si>
    <t xml:space="preserve">1. Namespace currently formatted with 64b Guard PI.
2. LBAFEE = 0h.</t>
  </si>
  <si>
    <t xml:space="preserve">1. Verify LBAFEE = 0h.
2. Issue Format NVM on the namespace.
3. Observe completion status.</t>
  </si>
  <si>
    <t xml:space="preserve">Command aborts with Invalid Namespace or Format.</t>
  </si>
  <si>
    <t xml:space="preserve">TC_FORMAT_NVM_013</t>
  </si>
  <si>
    <t xml:space="preserve">LBAFEE=1h, Format with 32b Guard PI succeeds</t>
  </si>
  <si>
    <t xml:space="preserve">FORMAT_NVM_LBAFEE1_32B_OK</t>
  </si>
  <si>
    <t xml:space="preserve">Verify Format NVM succeeds when LBAFEE is set to 1h and LBAF uses 32b Guard Protection Information.</t>
  </si>
  <si>
    <t xml:space="preserve">1. LBAFEE set to 1h via Set Features Host Behavior Support.
2. Device supports 32b Guard PI LBAF.</t>
  </si>
  <si>
    <t xml:space="preserve">1. Confirm LBAFEE = 1h.
2. Issue Format NVM with the 32b Guard PI LBAF.
3. Observe completion.</t>
  </si>
  <si>
    <t xml:space="preserve">Command completes with Successful Completion. Namespace is formatted with 32b Guard PI.</t>
  </si>
  <si>
    <t xml:space="preserve">TC_FORMAT_NVM_014</t>
  </si>
  <si>
    <t xml:space="preserve">LBAFEE=1h, Format with 64b Guard PI succeeds</t>
  </si>
  <si>
    <t xml:space="preserve">FORMAT_NVM_LBAFEE1_64B_OK</t>
  </si>
  <si>
    <t xml:space="preserve">Verify Format NVM succeeds when LBAFEE is set to 1h and LBAF uses 64b Guard Protection Information.</t>
  </si>
  <si>
    <t xml:space="preserve">1. LBAFEE = 1h.
2. Device supports 64b Guard PI LBAF.</t>
  </si>
  <si>
    <t xml:space="preserve">1. Confirm LBAFEE = 1h.
2. Issue Format NVM with 64b Guard PI LBAF.
3. Observe completion.</t>
  </si>
  <si>
    <t xml:space="preserve">Command completes with Successful Completion. Namespace formatted with 64b Guard PI.</t>
  </si>
  <si>
    <t xml:space="preserve">TC_FORMAT_NVM_015</t>
  </si>
  <si>
    <t xml:space="preserve">LBAFEE=1h, STS != 0, all affected namespaces share same LBA format</t>
  </si>
  <si>
    <t xml:space="preserve">FORMAT_NVM_LBAFEE1_STSNZ_ALL_MATCH_OK</t>
  </si>
  <si>
    <t xml:space="preserve">Verify Format NVM succeeds when LBAFEE=1h, the requested LBAF has STS != 0, and every namespace affected by the command is already formatted with the same LBA format.</t>
  </si>
  <si>
    <t xml:space="preserve">1. LBAFEE = 1h.
2. Two or more namespaces affected (e.g., NSID = FFFFFFFFh broadcast or shared NS) all currently formatted with target LBAF that has STS != 0.</t>
  </si>
  <si>
    <t xml:space="preserve">1. Confirm LBAFEE = 1h via Get Features.
2. Verify all affected namespaces use the same LBAF.
3. Issue Format NVM with that LBAF (STS != 0).
4. Observe completion.</t>
  </si>
  <si>
    <t xml:space="preserve">Command completes with Successful Completion. All affected namespaces remain consistently formatted.</t>
  </si>
  <si>
    <t xml:space="preserve">STS field consistency</t>
  </si>
  <si>
    <t xml:space="preserve">Sec 4.1.2 (STS != 0 rule)</t>
  </si>
  <si>
    <t xml:space="preserve">TC_FORMAT_NVM_016</t>
  </si>
  <si>
    <t xml:space="preserve">LBAFEE=1h, STS != 0, at least one affected namespace not formatted with same LBAF</t>
  </si>
  <si>
    <t xml:space="preserve">FORMAT_NVM_LBAFEE1_STSNZ_MISMATCH_FAIL</t>
  </si>
  <si>
    <t xml:space="preserve">Verify Format NVM is aborted with Invalid Namespace or Format when LBAFEE=1h, the LBAF has STS != 0, and at least one namespace affected by the command is not currently formatted with that same LBA format.</t>
  </si>
  <si>
    <t xml:space="preserve">1. LBAFEE = 1h.
2. Multiple namespaces are affected by the Format command (e.g., broadcast NSID FFFFFFFFh).
3. At least one of those namespaces is currently formatted with a different LBAF than the one specified.</t>
  </si>
  <si>
    <t xml:space="preserve">1. Confirm LBAFEE = 1h.
2. Identify a namespace formatted with a different LBAF than the target one (target has STS != 0).
3. Issue Format NVM with NSID=FFFFFFFFh and the target LBAF.
4. Observe completion.</t>
  </si>
  <si>
    <t xml:space="preserve">Command aborts with status code Invalid Namespace or Format. No namespace is reformatted.</t>
  </si>
  <si>
    <t xml:space="preserve">Sec 4.1.2 (3 conditions bulleted list)</t>
  </si>
  <si>
    <t xml:space="preserve">TC_FORMAT_NVM_017</t>
  </si>
  <si>
    <t xml:space="preserve">LBAFEE=1h, STS = 0, mixed LBAF across namespaces (allowed)</t>
  </si>
  <si>
    <t xml:space="preserve">FORMAT_NVM_LBAFEE1_STS0_MIXED_OK</t>
  </si>
  <si>
    <t xml:space="preserve">Corner case: verify Format NVM succeeds when LBAFEE=1h, the target LBAF has STS=0, and namespaces affected use different LBA formats currently. The mismatch rule only applies when STS != 0.</t>
  </si>
  <si>
    <t xml:space="preserve">1. LBAFEE = 1h.
2. Target LBAF has STS = 0.
3. Namespaces affected currently use different LBA formats.</t>
  </si>
  <si>
    <t xml:space="preserve">1. Issue Format NVM with target LBAF (STS=0) on affected namespace(s).
2. Observe completion.</t>
  </si>
  <si>
    <t xml:space="preserve">Command completes with Successful Completion (assuming no other restrictions are violated).</t>
  </si>
  <si>
    <t xml:space="preserve">Sec 4.1.2 (STS != 0 condition is required)</t>
  </si>
  <si>
    <t xml:space="preserve">TC_FORMAT_NVM_018</t>
  </si>
  <si>
    <t xml:space="preserve">FDP enabled, RUH not shared with other namespaces</t>
  </si>
  <si>
    <t xml:space="preserve">FORMAT_NVM_FDP_RUH_NOT_SHARED_OK</t>
  </si>
  <si>
    <t xml:space="preserve">Verify Format NVM succeeds when FDP is enabled in the Endurance Group, and the namespace's Reclaim Unit Handles are not shared with any other namespace.</t>
  </si>
  <si>
    <t xml:space="preserve">1. FDP enabled in Endurance Group.
2. Namespace uses dedicated (non-shared) RUHs.
3. Namespace attached.</t>
  </si>
  <si>
    <t xml:space="preserve">1. Confirm FDP enabled and RUH allocation.
2. Issue Format NVM with valid Format Index.
3. Observe completion.</t>
  </si>
  <si>
    <t xml:space="preserve">Command completes with Successful Completion.</t>
  </si>
  <si>
    <t xml:space="preserve">Flexible Data Placement</t>
  </si>
  <si>
    <t xml:space="preserve">Sec 4.1.2 (FDP rule)</t>
  </si>
  <si>
    <t xml:space="preserve">TC_FORMAT_NVM_019</t>
  </si>
  <si>
    <t xml:space="preserve">FDP enabled, RUH shared, Format Index matches across namespaces</t>
  </si>
  <si>
    <t xml:space="preserve">FORMAT_NVM_FDP_SHARED_RUH_MATCH_OK</t>
  </si>
  <si>
    <t xml:space="preserve">Verify Format NVM succeeds when FDP is enabled, an RUH is shared between namespaces, and the specified Format Index matches the Format Index of those other namespaces.</t>
  </si>
  <si>
    <t xml:space="preserve">1. FDP enabled.
2. Namespace A and B share at least one RUH.
3. Both A and B currently formatted with same Format Index = K.</t>
  </si>
  <si>
    <t xml:space="preserve">1. Confirm FDP/RUH sharing.
2. Issue Format NVM on Namespace A with Format Index = K (same as Namespace B).
3. Observe completion.</t>
  </si>
  <si>
    <t xml:space="preserve">TC_FORMAT_NVM_020</t>
  </si>
  <si>
    <t xml:space="preserve">FDP enabled, RUH shared, Format Index does NOT match other namespaces</t>
  </si>
  <si>
    <t xml:space="preserve">FORMAT_NVM_FDP_SHARED_RUH_MISMATCH_FAIL</t>
  </si>
  <si>
    <t xml:space="preserve">Verify Format NVM is aborted with status code Invalid Format when FDP is enabled, an RUH is shared between namespaces, and the specified Format Index does not match the Format Index of the other namespaces sharing that RUH.</t>
  </si>
  <si>
    <t xml:space="preserve">1. FDP enabled in Endurance Group.
2. Namespaces A and B share at least one RUH.
3. Namespace B currently formatted with Format Index = K.</t>
  </si>
  <si>
    <t xml:space="preserve">1. Confirm RUH sharing between A and B.
2. Issue Format NVM on Namespace A with Format Index = J (J != K).
3. Observe completion.</t>
  </si>
  <si>
    <t xml:space="preserve">Command aborts with status code Invalid Format (0Ah). Namespace A's format is unchanged.</t>
  </si>
  <si>
    <t xml:space="preserve">Sec 4.1.2 (FDP rule, refer 4.1.6)</t>
  </si>
  <si>
    <t xml:space="preserve">TC_FORMAT_NVM_021</t>
  </si>
  <si>
    <t xml:space="preserve">FDP disabled in Endurance Group</t>
  </si>
  <si>
    <t xml:space="preserve">FORMAT_NVM_FDP_DISABLED_OK</t>
  </si>
  <si>
    <t xml:space="preserve">Verify Format NVM behaves normally with no FDP-related restrictions when Flexible Data Placement is disabled.</t>
  </si>
  <si>
    <t xml:space="preserve">1. FDP not enabled in Endurance Group of the namespace.</t>
  </si>
  <si>
    <t xml:space="preserve">1. Confirm FDP disabled.
2. Issue Format NVM with any valid Format Index.
3. Observe completion.</t>
  </si>
  <si>
    <t xml:space="preserve">Command completes with Successful Completion. FDP-related rules do not apply.</t>
  </si>
  <si>
    <t xml:space="preserve">Sec 4.1.2 (FDP rule precondition)</t>
  </si>
  <si>
    <t xml:space="preserve">TC_FORMAT_NVM_022</t>
  </si>
  <si>
    <t xml:space="preserve">PIL=0 with PI enabled - PI at last bytes of metadata</t>
  </si>
  <si>
    <t xml:space="preserve">FORMAT_NVM_PIL0_PI_LAST</t>
  </si>
  <si>
    <t xml:space="preserve">Verify Format NVM succeeds with PIL bit cleared to 0 when PI is enabled, and that protection information is placed in the last bytes of the metadata.</t>
  </si>
  <si>
    <t xml:space="preserve">1. Device supports PI Type and DPC field allows last-byte placement (DPC.bit4 = 1).
2. Selected LBAF supports metadata.</t>
  </si>
  <si>
    <t xml:space="preserve">1. Issue Format NVM with CDW10.PIL=0, CDW10.PI=001b, MSET as desired.
2. Wait for completion.
3. Read DPS field via Identify Namespace.
4. Issue a Write with metadata and PRINFO/PI fields; read back and verify PI is at end of metadata buffer.</t>
  </si>
  <si>
    <t xml:space="preserve">Command completes with Successful Completion. DPS field reflects PIL=0. PI field appears as last bytes of metadata in subsequent reads.</t>
  </si>
  <si>
    <t xml:space="preserve">Protection Information Location (PIL)</t>
  </si>
  <si>
    <t xml:space="preserve">Fig 90 Bit 08</t>
  </si>
  <si>
    <t xml:space="preserve">TC_FORMAT_NVM_023</t>
  </si>
  <si>
    <t xml:space="preserve">PIL=1 with PI enabled - PI at first bytes of metadata (legacy)</t>
  </si>
  <si>
    <t xml:space="preserve">FORMAT_NVM_PIL1_PI_FIRST_LEGACY</t>
  </si>
  <si>
    <t xml:space="preserve">Verify Format NVM behavior when PIL bit is set to 1 (PI at first bytes of metadata). Note: For implementations compliant with NVM Command Set spec v1.0 or later, this bit shall be cleared to 0.</t>
  </si>
  <si>
    <t xml:space="preserve">1. Device declares compliance level prior to v1.0 (or PIL=1 still supported per DPC).
2. PI Type supported.</t>
  </si>
  <si>
    <t xml:space="preserve">1. Issue Format NVM with CDW10.PIL=1, PI=001b.
2. Observe completion.
3. If accepted, verify DPS field reports PIL=1 and PI is in first bytes of metadata.</t>
  </si>
  <si>
    <t xml:space="preserve">On legacy/pre-v1.0 device: Command completes with Successful Completion; PI placed in first bytes. On v1.0+ compliant device per Fig 90 wording: Command should be aborted (or PIL must be cleared to 0).</t>
  </si>
  <si>
    <t xml:space="preserve">Fig 90 Bit 08 (v1.0+ rule)</t>
  </si>
  <si>
    <t xml:space="preserve">TC_FORMAT_NVM_024</t>
  </si>
  <si>
    <t xml:space="preserve">PIL=1 on v1.0+ compliant implementation</t>
  </si>
  <si>
    <t xml:space="preserve">FORMAT_NVM_PIL1_V10_PLUS_FAIL</t>
  </si>
  <si>
    <t xml:space="preserve">Verify that Format NVM with PIL=1 is rejected (or PIL must be cleared) on implementations compliant with NVM Command Set Specification v1.0 or later, where the spec explicitly mandates PIL shall be cleared to 0.</t>
  </si>
  <si>
    <t xml:space="preserve">1. Device reports compliance with NVM Command Set v1.0 or later.
2. Identify Controller / version registers indicate v1.0+.</t>
  </si>
  <si>
    <t xml:space="preserve">1. Verify version &gt;= 1.0 of NVM Command Set Specification.
2. Issue Format NVM with CDW10.PIL=1.
3. Observe completion.</t>
  </si>
  <si>
    <t xml:space="preserve">Command aborts with Invalid Field in Command (or equivalent), OR controller treats PIL as 0. Per spec text, PIL shall be cleared to 0 by the host on v1.0+.</t>
  </si>
  <si>
    <t xml:space="preserve">TC_FORMAT_NVM_025</t>
  </si>
  <si>
    <t xml:space="preserve">PIL=1 with PI=000b (PI disabled)</t>
  </si>
  <si>
    <t xml:space="preserve">FORMAT_NVM_PIL1_PI_DISABLED_IGNORED</t>
  </si>
  <si>
    <t xml:space="preserve">Corner case: verify PIL bit is effectively a don't-care when PI is not enabled (PI=000b), since PIL only describes placement of PI bytes that don't exist.</t>
  </si>
  <si>
    <t xml:space="preserve">1. Device supports namespace formatting without PI.</t>
  </si>
  <si>
    <t xml:space="preserve">1. Issue Format NVM with CDW10.PI=000b, CDW10.PIL=1, MSET=0.
2. Observe completion.</t>
  </si>
  <si>
    <t xml:space="preserve">Command completes with Successful Completion. DPS field reports PI disabled. PIL value has no functional effect on data layout.</t>
  </si>
  <si>
    <t xml:space="preserve">TC_FORMAT_NVM_026</t>
  </si>
  <si>
    <t xml:space="preserve">PIL setting not supported by DPC</t>
  </si>
  <si>
    <t xml:space="preserve">FORMAT_NVM_PIL_UNSUPPORTED_BY_DPC</t>
  </si>
  <si>
    <t xml:space="preserve">Verify Format NVM is aborted when the requested PIL value is not supported as indicated by the DPC field of Identify Namespace (e.g., DPC reports only last-byte support but host requests PIL=1).</t>
  </si>
  <si>
    <t xml:space="preserve">1. Identify Namespace DPC field indicates only last-byte PI placement supported (DPCBIT 4=1, DPCBIT 3=0).
2. PI Type supported.</t>
  </si>
  <si>
    <t xml:space="preserve">1. Read DPC and confirm only last-byte PI supported.
2. Issue Format NVM with PIL=1, PI=001b.
3. Observe completion.</t>
  </si>
  <si>
    <t xml:space="preserve">Command aborts with Invalid Field in Command (or Invalid Format) because PIL=1 (first-byte) is not supported by DPC.</t>
  </si>
  <si>
    <t xml:space="preserve">Fig 90 Bit 08 ('constrained by DPC')</t>
  </si>
  <si>
    <t xml:space="preserve">TC_FORMAT_NVM_027</t>
  </si>
  <si>
    <t xml:space="preserve">PI=000b - Protection Information disabled</t>
  </si>
  <si>
    <t xml:space="preserve">FORMAT_NVM_PI_000_DISABLED_OK</t>
  </si>
  <si>
    <t xml:space="preserve">Verify Format NVM with PI=000b (protection info not enabled) succeeds.</t>
  </si>
  <si>
    <t xml:space="preserve">1. Device supports formatting without PI.</t>
  </si>
  <si>
    <t xml:space="preserve">1. Issue Format NVM with CDW10.PI=000b, MSET=0, valid LBAF.
2. Observe completion.
3. Read DPS via Identify Namespace.</t>
  </si>
  <si>
    <t xml:space="preserve">Command completes Successful Completion. DPS field indicates PI=000b (disabled).</t>
  </si>
  <si>
    <t xml:space="preserve">Protection Information (PI) field</t>
  </si>
  <si>
    <t xml:space="preserve">Fig 90 Bits 07:05</t>
  </si>
  <si>
    <t xml:space="preserve">TC_FORMAT_NVM_028</t>
  </si>
  <si>
    <t xml:space="preserve">PI=001b - Type 1 PI enabled</t>
  </si>
  <si>
    <t xml:space="preserve">FORMAT_NVM_PI_001_TYPE1_OK</t>
  </si>
  <si>
    <t xml:space="preserve">Verify Format NVM with PI=001b (Type 1 protection info enabled) succeeds when DPC reports Type 1 support.</t>
  </si>
  <si>
    <t xml:space="preserve">1. Identify Namespace DPC field indicates Type 1 PI is supported.
2. Selected LBAF has metadata size &gt; 0.</t>
  </si>
  <si>
    <t xml:space="preserve">1. Issue Format NVM with CDW10.PI=001b, MSET as desired, PIL per DPC.
2. Observe completion.
3. Read DPS field.</t>
  </si>
  <si>
    <t xml:space="preserve">Command completes Successful Completion. DPS field reports Type 1 PI enabled.</t>
  </si>
  <si>
    <t xml:space="preserve">TC_FORMAT_NVM_029</t>
  </si>
  <si>
    <t xml:space="preserve">PI=010b - Type 2 PI enabled</t>
  </si>
  <si>
    <t xml:space="preserve">FORMAT_NVM_PI_010_TYPE2_OK</t>
  </si>
  <si>
    <t xml:space="preserve">Verify Format NVM with PI=010b (Type 2 protection info enabled) succeeds when DPC reports Type 2 support.</t>
  </si>
  <si>
    <t xml:space="preserve">1. DPC indicates Type 2 PI is supported.
2. Selected LBAF has metadata size &gt; 0.</t>
  </si>
  <si>
    <t xml:space="preserve">1. Issue Format NVM with CDW10.PI=010b, MSET as desired.
2. Observe completion.
3. Read DPS field.</t>
  </si>
  <si>
    <t xml:space="preserve">Command completes Successful Completion. DPS field reports Type 2 PI enabled.</t>
  </si>
  <si>
    <t xml:space="preserve">TC_FORMAT_NVM_030</t>
  </si>
  <si>
    <t xml:space="preserve">PI=011b - Type 3 PI enabled (upper-valid boundary)</t>
  </si>
  <si>
    <t xml:space="preserve">FORMAT_NVM_PI_011_TYPE3_OK</t>
  </si>
  <si>
    <t xml:space="preserve">Verify Format NVM with PI=011b (Type 3 protection info enabled) succeeds when DPC reports Type 3 support. This is the highest valid value for the PI field.</t>
  </si>
  <si>
    <t xml:space="preserve">1. DPC indicates Type 3 PI is supported.
2. Selected LBAF has metadata size &gt; 0.</t>
  </si>
  <si>
    <t xml:space="preserve">1. Issue Format NVM with CDW10.PI=011b.
2. Observe completion.
3. Read DPS field.</t>
  </si>
  <si>
    <t xml:space="preserve">Command completes Successful Completion. DPS field reports Type 3 PI enabled.</t>
  </si>
  <si>
    <t xml:space="preserve">TC_FORMAT_NVM_031</t>
  </si>
  <si>
    <t xml:space="preserve">PI=100b - reserved value (lower invalid boundary)</t>
  </si>
  <si>
    <t xml:space="preserve">FORMAT_NVM_PI_100_RESERVED_FAIL</t>
  </si>
  <si>
    <t xml:space="preserve">Verify Format NVM is aborted when PI field is set to 100b, which is the lowest reserved value.</t>
  </si>
  <si>
    <t xml:space="preserve">1. Device initialized.</t>
  </si>
  <si>
    <t xml:space="preserve">1. Issue Format NVM with CDW10.PI=100b.
2. Observe completion.</t>
  </si>
  <si>
    <t xml:space="preserve">Command aborts with Invalid Field in Command (or Invalid Format). Namespace remains unchanged.</t>
  </si>
  <si>
    <t xml:space="preserve">Fig 90 Bits 07:05 (100b-111b reserved)</t>
  </si>
  <si>
    <t xml:space="preserve">TC_FORMAT_NVM_032</t>
  </si>
  <si>
    <t xml:space="preserve">PI=101b - reserved value (mid invalid)</t>
  </si>
  <si>
    <t xml:space="preserve">FORMAT_NVM_PI_101_RESERVED_FAIL</t>
  </si>
  <si>
    <t xml:space="preserve">Verify Format NVM is aborted when PI field uses reserved value 101b.</t>
  </si>
  <si>
    <t xml:space="preserve">1. Issue Format NVM with CDW10.PI=101b.
2. Observe completion.</t>
  </si>
  <si>
    <t xml:space="preserve">Command aborts with Invalid Field in Command. Namespace unchanged.</t>
  </si>
  <si>
    <t xml:space="preserve">TC_FORMAT_NVM_033</t>
  </si>
  <si>
    <t xml:space="preserve">PI=111b - reserved value (upper invalid boundary)</t>
  </si>
  <si>
    <t xml:space="preserve">FORMAT_NVM_PI_111_RESERVED_FAIL</t>
  </si>
  <si>
    <t xml:space="preserve">Verify Format NVM is aborted when PI field is 111b (all bits set in reserved range; upper boundary).</t>
  </si>
  <si>
    <t xml:space="preserve">1. Issue Format NVM with CDW10.PI=111b.
2. Observe completion.</t>
  </si>
  <si>
    <t xml:space="preserve">TC_FORMAT_NVM_034</t>
  </si>
  <si>
    <t xml:space="preserve">PI Type not supported by DPC</t>
  </si>
  <si>
    <t xml:space="preserve">FORMAT_NVM_PI_NOT_SUPPORTED_BY_DPC</t>
  </si>
  <si>
    <t xml:space="preserve">Verify Format NVM is aborted with Invalid Field in Command when host requests a PI Type that the device does not support per the DPC field.</t>
  </si>
  <si>
    <t xml:space="preserve">1. DPC indicates only Type 1 supported (e.g., DPC bit 0 = 1, bits 1, 2 = 0).</t>
  </si>
  <si>
    <t xml:space="preserve">1. Read DPC.
2. Issue Format NVM with CDW10.PI=011b (Type 3) which is unsupported.
3. Observe completion.</t>
  </si>
  <si>
    <t xml:space="preserve">Command aborts with Invalid Field in Command (or Invalid Format).</t>
  </si>
  <si>
    <t xml:space="preserve">Fig 90 ('constrained by DPC')</t>
  </si>
  <si>
    <t xml:space="preserve">TC_FORMAT_NVM_035</t>
  </si>
  <si>
    <t xml:space="preserve">PI usage in Read/Write/Verify/Compare/Copy after enabling</t>
  </si>
  <si>
    <t xml:space="preserve">FORMAT_NVM_PI_USAGE_AFTER_FORMAT</t>
  </si>
  <si>
    <t xml:space="preserve">After Format NVM enables a PI Type, verify the host can supply PI fields in Read, Write, Compare, Verify, and Copy commands and the controller validates them per the configured Type.</t>
  </si>
  <si>
    <t xml:space="preserve">1. Format NVM completed with PI=001b/010b/011b.
2. Namespace ready for I/O.</t>
  </si>
  <si>
    <t xml:space="preserve">1. Issue Write command with valid PRINFO and reference/application/guard tag fields.
2. Read back with valid PI fields.
3. Issue Verify, Compare, Copy with PI fields.
4. Issue a Write with intentionally bad guard tag (Type 1/Type 2).</t>
  </si>
  <si>
    <t xml:space="preserve">All commands with valid PI fields complete Successful Completion. Command with bad guard tag is aborted with Guard Check Error / Reference Tag Check Error / Application Tag Check Error per Type semantics.</t>
  </si>
  <si>
    <t xml:space="preserve">Fig 90 (last paragraph of PI description)</t>
  </si>
  <si>
    <t xml:space="preserve">TC_FORMAT_NVM_036</t>
  </si>
  <si>
    <t xml:space="preserve">MSET=0 - metadata as separate buffer</t>
  </si>
  <si>
    <t xml:space="preserve">FORMAT_NVM_MSET0_SEPARATE_BUFFER_OK</t>
  </si>
  <si>
    <t xml:space="preserve">Verify Format NVM with MSET=0 succeeds and configures namespace so metadata is transferred as a separate buffer.</t>
  </si>
  <si>
    <t xml:space="preserve">1. LBAF with metadata size &gt; 0 supported.
2. Device supports separate metadata buffer (MC bit 1 = 1 in Identify NS).</t>
  </si>
  <si>
    <t xml:space="preserve">1. Issue Format NVM with CDW10.MSET=0, valid LBAF (with metadata).
2. Observe completion.
3. Read FLBAS / MC fields.
4. Issue a Read/Write using separate metadata pointer (MPTR).</t>
  </si>
  <si>
    <t xml:space="preserve">Command completes Successful Completion. FLBAS reflects MSET=0. Subsequent I/O works with separate metadata buffer.</t>
  </si>
  <si>
    <t xml:space="preserve">Metadata Settings (MSET)</t>
  </si>
  <si>
    <t xml:space="preserve">Fig 90 Bit 04</t>
  </si>
  <si>
    <t xml:space="preserve">TC_FORMAT_NVM_037</t>
  </si>
  <si>
    <t xml:space="preserve">MSET=1 - metadata as part of extended LBA</t>
  </si>
  <si>
    <t xml:space="preserve">FORMAT_NVM_MSET1_EXTENDED_LBA_OK</t>
  </si>
  <si>
    <t xml:space="preserve">Verify Format NVM with MSET=1 succeeds and namespace transfers metadata as part of an extended LBA (interleaved with data).</t>
  </si>
  <si>
    <t xml:space="preserve">1. LBAF with metadata size &gt; 0 supported.
2. Device supports extended LBA (MC bit 0 = 1).</t>
  </si>
  <si>
    <t xml:space="preserve">1. Issue Format NVM with CDW10.MSET=1, valid LBAF (with metadata).
2. Observe completion.
3. Issue a Read/Write using extended LBA (data + metadata in one PRP buffer).</t>
  </si>
  <si>
    <t xml:space="preserve">Command completes Successful Completion. FLBAS reflects MSET=1. I/O succeeds with interleaved data+metadata.</t>
  </si>
  <si>
    <t xml:space="preserve">TC_FORMAT_NVM_038</t>
  </si>
  <si>
    <t xml:space="preserve">MSET ignored when LBAF metadata size = 0h</t>
  </si>
  <si>
    <t xml:space="preserve">FORMAT_NVM_MSET_METADATA_ZERO_IGNORED</t>
  </si>
  <si>
    <t xml:space="preserve">Corner case: verify MSET is ignored by the controller when the selected LBA Format has metadata size = 0h.</t>
  </si>
  <si>
    <t xml:space="preserve">1. Selected LBAF has MS=0 (no metadata).</t>
  </si>
  <si>
    <t xml:space="preserve">1. Issue Format NVM with CDW10.MSET=1 (deliberately set), CDW10.PI=000b, LBAF with MS=0.
2. Observe completion.
3. Read FLBAS field.</t>
  </si>
  <si>
    <t xml:space="preserve">Command completes Successful Completion. The MSET value is ignored; FLBAS reflects the selected LBAF and the host should not interpret MSET as meaningful.</t>
  </si>
  <si>
    <t xml:space="preserve">Fig 90 Bit 04 ('shall be ignored if MS=0')</t>
  </si>
  <si>
    <t xml:space="preserve">TC_FORMAT_NVM_039</t>
  </si>
  <si>
    <t xml:space="preserve">MSET unsupported by MC field of Identify Namespace</t>
  </si>
  <si>
    <t xml:space="preserve">FORMAT_NVM_MSET_NOT_SUPPORTED_BY_MC</t>
  </si>
  <si>
    <t xml:space="preserve">Verify Format NVM is aborted when MSET requests a metadata mode (extended or separate) that is not supported by the MC field of Identify Namespace.</t>
  </si>
  <si>
    <t xml:space="preserve">1. MC field indicates only extended LBA supported (MC bit 0 = 1, bit 1 = 0) or vice versa.</t>
  </si>
  <si>
    <t xml:space="preserve">1. Read MC field.
2. Issue Format NVM with MSET set to the unsupported mode (e.g., MSET=0 when only extended is supported).
3. Observe completion.</t>
  </si>
  <si>
    <t xml:space="preserve">Fig 90 Bit 04 (constrained by MC capability)</t>
  </si>
  <si>
    <t xml:space="preserve">TC_FORMAT_NVM_040</t>
  </si>
  <si>
    <t xml:space="preserve">Format with NSID = FFFFFFFFh (broadcast - all namespaces)</t>
  </si>
  <si>
    <t xml:space="preserve">FORMAT_NVM_NSID_BROADCAST_OK</t>
  </si>
  <si>
    <t xml:space="preserve">Verify Format NVM applied to all namespaces using broadcast NSID succeeds when controller supports broadcast and all conditions are met (FNA bit 1 from Base spec).</t>
  </si>
  <si>
    <t xml:space="preserve">1. Identify Controller FNA bit 1 (or equivalent) supports applying Format to all namespaces.
2. All namespaces are in compatible state.</t>
  </si>
  <si>
    <t xml:space="preserve">1. Confirm FNA broadcast support.
2. Issue Format NVM with NSID=FFFFFFFFh, valid LBAF, PI=000b.
3. Observe completion.
4. Verify each namespace's FLBAS via Identify Namespace.</t>
  </si>
  <si>
    <t xml:space="preserve">Command completes Successful Completion. All namespaces are formatted with the requested LBAF.</t>
  </si>
  <si>
    <t xml:space="preserve">NSID handling</t>
  </si>
  <si>
    <t xml:space="preserve">Sec 4.1.2 (refers to Base spec)</t>
  </si>
  <si>
    <t xml:space="preserve">TC_FORMAT_NVM_041</t>
  </si>
  <si>
    <t xml:space="preserve">Format with NSID = 0h (invalid)</t>
  </si>
  <si>
    <t xml:space="preserve">FORMAT_NVM_NSID_ZERO_FAIL</t>
  </si>
  <si>
    <t xml:space="preserve">Verify Format NVM is aborted with Invalid Namespace or Format when NSID is 0h.</t>
  </si>
  <si>
    <t xml:space="preserve">1. Issue Format NVM with NSID=00000000h.
2. Observe completion.</t>
  </si>
  <si>
    <t xml:space="preserve">Command aborts with status code Invalid Namespace or Format (or Invalid Field in Command).</t>
  </si>
  <si>
    <t xml:space="preserve">Sec 4.1.2 (Base spec NSID rules)</t>
  </si>
  <si>
    <t xml:space="preserve">TC_FORMAT_NVM_042</t>
  </si>
  <si>
    <t xml:space="preserve">Format with NSID for inactive/unallocated namespace</t>
  </si>
  <si>
    <t xml:space="preserve">FORMAT_NVM_NSID_INACTIVE_FAIL</t>
  </si>
  <si>
    <t xml:space="preserve">Verify Format NVM is aborted when NSID refers to a namespace that is unallocated or inactive (not attached) on the controller.</t>
  </si>
  <si>
    <t xml:space="preserve">1. Multi-namespace controller with namespace ID K not attached / not created.</t>
  </si>
  <si>
    <t xml:space="preserve">1. Issue Format NVM with NSID=K (unallocated).
2. Observe completion.</t>
  </si>
  <si>
    <t xml:space="preserve">TC_FORMAT_NVM_043</t>
  </si>
  <si>
    <t xml:space="preserve">Format on namespace with active reservations</t>
  </si>
  <si>
    <t xml:space="preserve">FORMAT_NVM_ACTIVE_RESERVATIONS</t>
  </si>
  <si>
    <t xml:space="preserve">Corner case: verify Format NVM behavior on a namespace that has active reservations (Reservation Acquire) from another host.</t>
  </si>
  <si>
    <t xml:space="preserve">1. Namespace has active reservation held by another host.
2. Current host does not hold required reservation rights.</t>
  </si>
  <si>
    <t xml:space="preserve">1. Confirm active reservation via Reservation Report.
2. Issue Format NVM as the non-reservation-holder host.
3. Observe completion.</t>
  </si>
  <si>
    <t xml:space="preserve">Command aborts with Reservation Conflict (per Base spec) or Format proceeds and reservations are cleared per implementation - verify against device documentation.</t>
  </si>
  <si>
    <t xml:space="preserve">Reservation interaction</t>
  </si>
  <si>
    <t xml:space="preserve">Sec 4.1.2 (Base spec ref)</t>
  </si>
  <si>
    <t xml:space="preserve">TC_FORMAT_NVM_044</t>
  </si>
  <si>
    <t xml:space="preserve">Concurrent I/O during Format NVM execution</t>
  </si>
  <si>
    <t xml:space="preserve">FORMAT_NVM_CONCURRENT_IO</t>
  </si>
  <si>
    <t xml:space="preserve">Corner case: verify outstanding I/O on the namespace being formatted is handled correctly (typically aborted by controller per Base spec).</t>
  </si>
  <si>
    <t xml:space="preserve">1. Namespace busy with outstanding Read/Write commands queued.</t>
  </si>
  <si>
    <t xml:space="preserve">1. Submit several Read/Write commands.
2. Immediately submit Format NVM on the same namespace.
3. Observe completion of all commands.</t>
  </si>
  <si>
    <t xml:space="preserve">Outstanding I/O is aborted with Namespace Not Ready or Format In Progress style error per Base spec. Format NVM completes Successful Completion. After format, new I/O succeeds.</t>
  </si>
  <si>
    <t xml:space="preserve">Concurrency</t>
  </si>
  <si>
    <t xml:space="preserve">Sec 4.1.2 (Base spec command behavior)</t>
  </si>
  <si>
    <t xml:space="preserve">TC_FORMAT_NVM_045</t>
  </si>
  <si>
    <t xml:space="preserve">Format with reserved CDW10 bits 31:09 set to non-zero</t>
  </si>
  <si>
    <t xml:space="preserve">FORMAT_NVM_RESERVED_BITS_NONZERO</t>
  </si>
  <si>
    <t xml:space="preserve">Error guessing: verify controller behavior when reserved bits in CDW10 (bits 31:09 in NVM Command Set view, plus any reserved fields) are set to non-zero values.</t>
  </si>
  <si>
    <t xml:space="preserve">1. Issue Format NVM with CDW10 bits 31:09 set to all 1s, but valid LBAF, PI, MSET, PIL fields.
2. Observe completion.</t>
  </si>
  <si>
    <t xml:space="preserve">Per Base spec the controller may either ignore reserved bits or abort with Invalid Field in Command. Most spec-compliant devices ignore. If aborted, status = Invalid Field in Command.</t>
  </si>
  <si>
    <t xml:space="preserve">Reserved field handling</t>
  </si>
  <si>
    <t xml:space="preserve">Sec 4.1.2; Fig 90</t>
  </si>
  <si>
    <t xml:space="preserve">TC_FORMAT_NVM_046</t>
  </si>
  <si>
    <t xml:space="preserve">Combined: PI=Type 1, PIL=0, MSET=1, valid LBAF with metadata</t>
  </si>
  <si>
    <t xml:space="preserve">FORMAT_NVM_COMBINED_TYPE1_EXT_LAST_OK</t>
  </si>
  <si>
    <t xml:space="preserve">Verify a typical combined positive scenario - Type 1 PI, last-byte placement, extended LBA, valid LBAF.</t>
  </si>
  <si>
    <t xml:space="preserve">1. DPC supports Type 1 and last-byte PI.
2. MC supports extended LBA.
3. LBAF has metadata size &gt; 0.</t>
  </si>
  <si>
    <t xml:space="preserve">1. Issue Format NVM with CDW10.PI=001b, PIL=0, MSET=1, valid LBAF.
2. Observe completion.
3. Read FLBAS, DPS via Identify Namespace.</t>
  </si>
  <si>
    <t xml:space="preserve">Command completes Successful Completion. DPS reflects PI=001b, PIL=0. FLBAS reflects MSET=1.</t>
  </si>
  <si>
    <t xml:space="preserve">Combined fields</t>
  </si>
  <si>
    <t xml:space="preserve">Fig 90 entire</t>
  </si>
  <si>
    <t xml:space="preserve">TC_FORMAT_NVM_047</t>
  </si>
  <si>
    <t xml:space="preserve">Combined: PI=Type 3, PIL=0, MSET=0, max LBAF</t>
  </si>
  <si>
    <t xml:space="preserve">FORMAT_NVM_COMBINED_TYPE3_SEP_OK</t>
  </si>
  <si>
    <t xml:space="preserve">Verify combined positive scenario - Type 3 PI, last-byte placement, separate metadata buffer, highest LBAF.</t>
  </si>
  <si>
    <t xml:space="preserve">1. DPC supports Type 3 and last-byte PI.
2. MC supports separate metadata.
3. Max LBAF has metadata.</t>
  </si>
  <si>
    <t xml:space="preserve">1. Issue Format NVM with PI=011b, PIL=0, MSET=0, LBAF=NLBAF.
2. Observe completion.</t>
  </si>
  <si>
    <t xml:space="preserve">Command completes Successful Completion. Namespace formatted as requested.</t>
  </si>
  <si>
    <t xml:space="preserve">Fig 90</t>
  </si>
  <si>
    <t xml:space="preserve">TC_FORMAT_NVM_048</t>
  </si>
  <si>
    <t xml:space="preserve">Repeated Format NVM commands (back-to-back)</t>
  </si>
  <si>
    <t xml:space="preserve">FORMAT_NVM_REPEATED_BACK_TO_BACK</t>
  </si>
  <si>
    <t xml:space="preserve">Corner case: issue multiple Format NVM commands in sequence and verify each completes correctly without leaving the namespace in an indeterminate state.</t>
  </si>
  <si>
    <t xml:space="preserve">1. Namespace idle.
2. Multiple valid LBAF available.</t>
  </si>
  <si>
    <t xml:space="preserve">1. Issue Format NVM with LBAF=0, wait for completion.
2. Issue Format NVM with LBAF=1, wait for completion.
3. Issue Format NVM with LBAF=0 again, wait for completion.
4. Verify FLBAS after each.</t>
  </si>
  <si>
    <t xml:space="preserve">All three commands complete Successful Completion. FLBAS correctly reflects last requested LBAF.</t>
  </si>
  <si>
    <t xml:space="preserve">State machine / repeated ops</t>
  </si>
  <si>
    <t xml:space="preserve">TC_FORMAT_NVM_049</t>
  </si>
  <si>
    <t xml:space="preserve">Format on a namespace formatted with 16b Guard PI + STS=0 (transition path)</t>
  </si>
  <si>
    <t xml:space="preserve">FORMAT_NVM_LBAFEE0_NS_16B_STS0_OK</t>
  </si>
  <si>
    <t xml:space="preserve">Verify that Format NVM succeeds with LBAFEE=0 when target namespace is currently formatted with 16b Guard PI but STS=0 (the spec restriction is only for 16b Guard with STS != 0).</t>
  </si>
  <si>
    <t xml:space="preserve">1. Namespace currently formatted with 16b Guard PI, STS=0.
2. LBAFEE = 0h.</t>
  </si>
  <si>
    <t xml:space="preserve">1. Confirm LBAFEE=0h.
2. Issue Format NVM with valid new LBAF (also 16b Guard PI, STS=0 or no PI).
3. Observe completion.</t>
  </si>
  <si>
    <t xml:space="preserve">Command completes Successful Completion.</t>
  </si>
  <si>
    <t xml:space="preserve">Sec 4.1.2 bullet (a) negation</t>
  </si>
  <si>
    <t xml:space="preserve">TC_FORMAT_NVM_050</t>
  </si>
  <si>
    <t xml:space="preserve">Format with PRP / SGL list errors (transport-level)</t>
  </si>
  <si>
    <t xml:space="preserve">FORMAT_NVM_TRANSPORT_PRP_INVALID</t>
  </si>
  <si>
    <t xml:space="preserve">Error guessing / exploratory: although Format NVM is typically a non-data command, verify transport-level handling when the SQE is malformed (e.g., reserved DPTR fields set).</t>
  </si>
  <si>
    <t xml:space="preserve">1. Build a Format NVM SQE with non-zero DPTR (PRP1/PRP2 fields).
2. Submit and observe completion.</t>
  </si>
  <si>
    <t xml:space="preserve">Per Base spec, since Format NVM does not transfer data, DPTR is reserved. Controller may ignore or abort with Invalid Field in Command. Verify behavior is consistent.</t>
  </si>
  <si>
    <t xml:space="preserve">SQE DPTR handling</t>
  </si>
  <si>
    <t xml:space="preserve">Sec 4.1.2 (Base spec)</t>
  </si>
  <si>
    <t xml:space="preserve">TC_FORMAT_NVM_051</t>
  </si>
  <si>
    <t xml:space="preserve">Verify DPS field after Format reflects PI configuration</t>
  </si>
  <si>
    <t xml:space="preserve">FORMAT_NVM_DPS_REPORTED_AFTER_FORMAT</t>
  </si>
  <si>
    <t xml:space="preserve">Verify the End-to-end Data Protection Type Settings (DPS) field of Identify Namespace correctly reports the PIL and PI Type configured by the most recent successful Format NVM.</t>
  </si>
  <si>
    <t xml:space="preserve">1. Device supports PI Types per DPC.</t>
  </si>
  <si>
    <t xml:space="preserve">1. Issue Format NVM with PI=010b (Type 2), PIL=0.
2. Wait for completion.
3. Issue Identify Namespace; read DPS field.</t>
  </si>
  <si>
    <t xml:space="preserve">DPS field PIT bits report Type 2 (010b). DPS PIP bit reports PIL=0 (last bytes).</t>
  </si>
  <si>
    <t xml:space="preserve">DPS reporting</t>
  </si>
  <si>
    <t xml:space="preserve">Fig 90 Bit 08 ('reported in DPS field')</t>
  </si>
  <si>
    <t xml:space="preserve">TC_FORMAT_NVM_052</t>
  </si>
  <si>
    <t xml:space="preserve">Verify FLBAS field after Format reflects LBAF index and MSET</t>
  </si>
  <si>
    <t xml:space="preserve">FORMAT_NVM_FLBAS_REPORTED_AFTER_FORMAT</t>
  </si>
  <si>
    <t xml:space="preserve">Verify the FLBAS field of Identify Namespace correctly reports the LBAF index and MSET configured by the most recent successful Format NVM.</t>
  </si>
  <si>
    <t xml:space="preserve">1. Device supports multiple LBAFs and metadata.</t>
  </si>
  <si>
    <t xml:space="preserve">1. Issue Format NVM with CDW10.LBAF=K, CDW10.MSET=1.
2. Wait for completion.
3. Issue Identify Namespace; read FLBAS.</t>
  </si>
  <si>
    <t xml:space="preserve">FLBAS LBAF subfield = K. FLBAS MSET subfield = 1.</t>
  </si>
  <si>
    <t xml:space="preserve">FLBAS reporting</t>
  </si>
  <si>
    <t xml:space="preserve">Sec 4.1.2 (refers Identify Namespace 5.5)</t>
  </si>
  <si>
    <t xml:space="preserve">TC_FORMAT_NVM_053</t>
  </si>
  <si>
    <t xml:space="preserve">Format with LBAF that requires extended bits (LBAFE) on legacy host</t>
  </si>
  <si>
    <t xml:space="preserve">FORMAT_NVM_LBAFE_EXTENDED_INDEX</t>
  </si>
  <si>
    <t xml:space="preserve">Corner case: verify behavior when device exposes extended LBAFs (using bits 6:5 of CDW10 LBAF field per spec extension) and host issues format using only the lower nibble.</t>
  </si>
  <si>
    <t xml:space="preserve">1. Device exposes &gt;16 LBAFs (NLBAF &gt;= 16) via extended LBAFE bits.
2. Target LBAF index &gt;= 16.</t>
  </si>
  <si>
    <t xml:space="preserve">1. Issue Format NVM with extended LBAF index = 16 using full LBAF field width per spec.
2. Observe completion.</t>
  </si>
  <si>
    <t xml:space="preserve">Command completes Successful Completion if host correctly populates extended LBAF field; otherwise wrong LBAF may be selected. Verify FLBAS.</t>
  </si>
  <si>
    <t xml:space="preserve">TC_FORMAT_NVM_054</t>
  </si>
  <si>
    <t xml:space="preserve">Format pre-empting outstanding format (double-issue)</t>
  </si>
  <si>
    <t xml:space="preserve">FORMAT_NVM_DOUBLE_ISSUE</t>
  </si>
  <si>
    <t xml:space="preserve">Corner case: issue a second Format NVM while the first has not completed (queue depth &gt;= 2 on Admin queue).</t>
  </si>
  <si>
    <t xml:space="preserve">1. Admin SQ depth allows multiple outstanding admin commands.</t>
  </si>
  <si>
    <t xml:space="preserve">1. Submit Format NVM #1 (long-running variant if possible).
2. Without waiting, submit Format NVM #2 on same NSID.
3. Observe completions.</t>
  </si>
  <si>
    <t xml:space="preserve">Behavior is implementation-defined per Base spec. Both may complete sequentially, or second may be aborted with Command Sequence Error / Format In Progress. Verify final FLBAS reflects last successful command.</t>
  </si>
  <si>
    <t xml:space="preserve">Concurrency / state machine</t>
  </si>
  <si>
    <t xml:space="preserve">TC_FORMAT_NVM_055</t>
  </si>
  <si>
    <t xml:space="preserve">Format does not change DPS when PI=000b regardless of PIL</t>
  </si>
  <si>
    <t xml:space="preserve">FORMAT_NVM_PI000_DPS_PIP_DONTCARE</t>
  </si>
  <si>
    <t xml:space="preserve">Corner case: verify that when PI is disabled (PI=000b), DPS PIT field shows 000b and DPS PIP value is don't-care / unchanged regardless of CDW10.PIL value.</t>
  </si>
  <si>
    <t xml:space="preserve">1. Issue Format NVM with PI=000b, PIL=0.
2. Read DPS.
3. Issue Format NVM with PI=000b, PIL=1.
4. Read DPS.</t>
  </si>
  <si>
    <t xml:space="preserve">DPS PIT field = 000b in both cases. PIP value should not affect data layout. Both Format commands complete Successful Completion (subject to v1.0+ PIL=0 rule).</t>
  </si>
  <si>
    <t xml:space="preserve">DPS reporting / PI interaction</t>
  </si>
  <si>
    <t xml:space="preserve">TC_FORMAT_NVM_056</t>
  </si>
  <si>
    <t xml:space="preserve">Format clears all user data on namespace</t>
  </si>
  <si>
    <t xml:space="preserve">FORMAT_NVM_DATA_ERASURE</t>
  </si>
  <si>
    <t xml:space="preserve">Verify after a successful Format NVM, previously-written user data is no longer accessible (deallocated / zeroed per Base spec FNA behavior).</t>
  </si>
  <si>
    <t xml:space="preserve">1. Namespace has user data written at known LBAs.</t>
  </si>
  <si>
    <t xml:space="preserve">1. Write a known pattern at LBA 0..N.
2. Read back to confirm.
3. Issue Format NVM with same LBAF.
4. Wait for completion.
5. Read LBA 0..N.</t>
  </si>
  <si>
    <t xml:space="preserve">Reads after format return either zeros, all-ones (deallocated read behavior per DLFEAT field), or per FNA semantics defined in Base spec. The original user data is no longer present.</t>
  </si>
  <si>
    <t xml:space="preserve">Data integrity post-format</t>
  </si>
  <si>
    <t xml:space="preserve">Sec 4.1.2 (Base spec FNA)</t>
  </si>
  <si>
    <t xml:space="preserve">TC_FORMAT_NVM_057</t>
  </si>
  <si>
    <t xml:space="preserve">Format NVM during low-power state</t>
  </si>
  <si>
    <t xml:space="preserve">FORMAT_NVM_LOW_POWER_STATE</t>
  </si>
  <si>
    <t xml:space="preserve">Corner case: verify Format NVM behavior when controller is in a low-power (autonomous) state.</t>
  </si>
  <si>
    <t xml:space="preserve">1. Controller in non-operational power state PS_x.</t>
  </si>
  <si>
    <t xml:space="preserve">1. Transition controller to non-operational PS via Set Features Power Management.
2. Issue Format NVM.
3. Observe behavior.</t>
  </si>
  <si>
    <t xml:space="preserve">Per Base spec, Admin commands resume controller from non-operational state. Format NVM should complete successfully (controller transitions to operational, executes, then may return to low-power).</t>
  </si>
  <si>
    <t xml:space="preserve">Power state interaction</t>
  </si>
  <si>
    <t xml:space="preserve">TC_FORMAT_NVM_058</t>
  </si>
  <si>
    <t xml:space="preserve">Format NVM verifies LBAFEE state must be valid (Set Features ordering)</t>
  </si>
  <si>
    <t xml:space="preserve">FORMAT_NVM_LBAFEE_TRANSITION</t>
  </si>
  <si>
    <t xml:space="preserve">Exploratory: verify Format NVM observes the most recently committed LBAFEE setting from Set Features Host Behavior Support, not a stale value.</t>
  </si>
  <si>
    <t xml:space="preserve">1. Controller initialized with LBAFEE = 0h by default.</t>
  </si>
  <si>
    <t xml:space="preserve">1. Issue Format NVM (32b Guard PI LBAF) - expect failure (LBAFEE != 1h).
2. Issue Set Features Host Behavior Support with LBAFEE=1h.
3. Issue Format NVM again with same LBAF - expect success.
4. Issue Set Features again, set LBAFEE=0h.
5. Issue Format NVM (32b Guard PI LBAF) again - expect failure.</t>
  </si>
  <si>
    <t xml:space="preserve">Step 1: Invalid Namespace or Format. Step 3: Successful Completion. Step 5: Invalid Namespace or Format.</t>
  </si>
  <si>
    <t xml:space="preserve">LBAFEE state transitions</t>
  </si>
  <si>
    <t xml:space="preserve">TC_FORMAT_NVM_059</t>
  </si>
  <si>
    <t xml:space="preserve">Format NVM affects DPS bit 4 (PIP) per PIL</t>
  </si>
  <si>
    <t xml:space="preserve">FORMAT_NVM_DPS_PIP_BIT_PIL0</t>
  </si>
  <si>
    <t xml:space="preserve">Verify DPS PIP bit (Identify NS) reports the value set via CDW10.PIL after Format NVM (boundary check for PIL=0).</t>
  </si>
  <si>
    <t xml:space="preserve">1. DPC supports last-byte PI placement.
2. PI Type supported.</t>
  </si>
  <si>
    <t xml:space="preserve">1. Issue Format NVM with PIL=0, PI=001b.
2. Wait for completion.
3. Read DPS field; check PIP bit (bit 3).</t>
  </si>
  <si>
    <t xml:space="preserve">DPS PIP bit = 0 indicating PI is at last bytes of metadata.</t>
  </si>
  <si>
    <t xml:space="preserve">TC_FORMAT_NVM_060</t>
  </si>
  <si>
    <t xml:space="preserve">Format NVM with all reserved-bit combinations in CDW10</t>
  </si>
  <si>
    <t xml:space="preserve">FORMAT_NVM_CDW10_RESERVED_RANGE</t>
  </si>
  <si>
    <t xml:space="preserve">Exploratory: scan reserved bit positions in CDW10 (per Base spec, bits beyond what NVM Command Set defines) with each individually set, and confirm the controller handles them per spec (typically ignored).</t>
  </si>
  <si>
    <t xml:space="preserve">1. For each reserved bit position in CDW10, set that single bit and issue Format NVM with otherwise valid fields.
2. Record completion status per bit.</t>
  </si>
  <si>
    <t xml:space="preserve">Either all complete Successful Completion (controller ignores reserved bits) or all abort with Invalid Field in Command. Behavior should be consistent.</t>
  </si>
  <si>
    <t xml:space="preserve">TC_FORMAT_NVM_061</t>
  </si>
  <si>
    <t xml:space="preserve">Verify LBA Format with STS=0 and 16b Guard PI is permitted under LBAFEE=0</t>
  </si>
  <si>
    <t xml:space="preserve">FORMAT_NVM_LBAFEE0_16B_GUARD_BASELINE</t>
  </si>
  <si>
    <t xml:space="preserve">Equivalence partitioning baseline: confirm 16b Guard PI without STS extension always works regardless of LBAFEE (the STS!=0 condition is what matters).</t>
  </si>
  <si>
    <t xml:space="preserve">1. Device supports 16b Guard PI.
2. LBAFEE = 0h.</t>
  </si>
  <si>
    <t xml:space="preserve">1. Issue Format NVM with LBAF using 16b Guard PI, STS=0, PI=001b.
2. Observe completion.</t>
  </si>
  <si>
    <t xml:space="preserve">Command completes Successful Completion. This is the baseline 'standard' PI case.</t>
  </si>
  <si>
    <t xml:space="preserve">Sec 4.1.2 bullet (a) (only applies when STS != 0)</t>
  </si>
  <si>
    <t xml:space="preserve">TC_FORMAT_NVM_062</t>
  </si>
  <si>
    <t xml:space="preserve">Format with FNA bit 0 set - cryptographic erase on format</t>
  </si>
  <si>
    <t xml:space="preserve">FORMAT_NVM_FNA_CRYPTO_ERASE</t>
  </si>
  <si>
    <t xml:space="preserve">Verify Format NVM with Secure Erase Setting (SES) field per Base spec produces correct behavior; per FNA bit 0 in Identify Controller, the format may apply to all namespaces.</t>
  </si>
  <si>
    <t xml:space="preserve">1. Identify Controller FNA bit 0 = 1 (format applies to all namespaces simultaneously).
2. Multiple namespaces present.</t>
  </si>
  <si>
    <t xml:space="preserve">1. Issue Format NVM on NSID=1 with valid LBAF.
2. Observe completion.
3. Verify other namespaces also formatted.</t>
  </si>
  <si>
    <t xml:space="preserve">Per FNA bit 0 = 1, all namespaces formatted simultaneously. Each namespace shows new FLBAS.</t>
  </si>
  <si>
    <t xml:space="preserve">FNA (Format NVM Attributes)</t>
  </si>
  <si>
    <t xml:space="preserve">Format NVM Command - Test Coverage Summary</t>
  </si>
  <si>
    <t xml:space="preserve">Specification:</t>
  </si>
  <si>
    <t xml:space="preserve">NVM Express NVM Command Set Specification, Revision 1.2 (2025.08.01)</t>
  </si>
  <si>
    <t xml:space="preserve">Section:</t>
  </si>
  <si>
    <t xml:space="preserve">4.1.2 Format NVM command (Pages 64-65)</t>
  </si>
  <si>
    <t xml:space="preserve">Total Test Cases:</t>
  </si>
  <si>
    <t xml:space="preserve">Test Category Distribution</t>
  </si>
  <si>
    <t xml:space="preserve">Category</t>
  </si>
  <si>
    <t xml:space="preserve">Count</t>
  </si>
  <si>
    <t xml:space="preserve">% of Total</t>
  </si>
  <si>
    <t xml:space="preserve">Functional Area Coverage (from Section 4.1.2)</t>
  </si>
  <si>
    <t xml:space="preserve"># Tests</t>
  </si>
  <si>
    <t xml:space="preserve">Testing Techniques Applied</t>
  </si>
  <si>
    <t xml:space="preserve">Technique</t>
  </si>
  <si>
    <t xml:space="preserve">Spec Requirement Traceability</t>
  </si>
  <si>
    <t xml:space="preserve">Spec Requirement</t>
  </si>
  <si>
    <t xml:space="preserve">Covered By (Test Label)</t>
  </si>
  <si>
    <t xml:space="preserve">Format Index must indicate a valid LBA Format from Identify Namespace</t>
  </si>
  <si>
    <t xml:space="preserve">FORMAT_NVM_VALID_LBAF_LOW, FORMAT_NVM_VALID_LBAF_HIGH, FORMAT_NVM_INVALID_LBAF_OUT_OF_RANGE, FORMAT_NVM_INVALID_LBAF_MAX_FIELD</t>
  </si>
  <si>
    <t xml:space="preserve">NSZE/NCAP may differ when logical block size changes</t>
  </si>
  <si>
    <t xml:space="preserve">FORMAT_NVM_NSZE_NCAP_CHANGE, FORMAT_NVM_NSZE_NCAP_NO_CHANGE</t>
  </si>
  <si>
    <t xml:space="preserve">LBAFEE != 1h: abort if LBAF uses 16b Guard PI with STS != 0</t>
  </si>
  <si>
    <t xml:space="preserve">FORMAT_NVM_LBAFEE0_16B_STSNZ_FAIL, FORMAT_NVM_LBAFEE0_16B_STS0_OK, FORMAT_NVM_LBAFEE0_16B_GUARD_BASELINE</t>
  </si>
  <si>
    <t xml:space="preserve">LBAFEE != 1h: abort if LBAF uses 32b Guard PI</t>
  </si>
  <si>
    <t xml:space="preserve">FORMAT_NVM_LBAFEE0_32B_FAIL, FORMAT_NVM_LBAFEE0_NS_ALREADY_32B_FAIL, FORMAT_NVM_LBAFEE1_32B_OK</t>
  </si>
  <si>
    <t xml:space="preserve">LBAFEE != 1h: abort if LBAF uses 64b Guard PI</t>
  </si>
  <si>
    <t xml:space="preserve">FORMAT_NVM_LBAFEE0_64B_FAIL, FORMAT_NVM_LBAFEE0_NS_ALREADY_64B_FAIL, FORMAT_NVM_LBAFEE1_64B_OK</t>
  </si>
  <si>
    <t xml:space="preserve">LBAFEE = 1h, STS != 0, mismatch in affected NS LBAFs -&gt; abort Invalid NS or Format</t>
  </si>
  <si>
    <t xml:space="preserve">FORMAT_NVM_LBAFEE1_STSNZ_MISMATCH_FAIL, FORMAT_NVM_LBAFEE1_STSNZ_ALL_MATCH_OK, FORMAT_NVM_LBAFEE1_STS0_MIXED_OK</t>
  </si>
  <si>
    <t xml:space="preserve">FDP enabled, RUH shared, Format Index mismatch -&gt; Invalid Format</t>
  </si>
  <si>
    <t xml:space="preserve">FORMAT_NVM_FDP_SHARED_RUH_MISMATCH_FAIL, FORMAT_NVM_FDP_SHARED_RUH_MATCH_OK, FORMAT_NVM_FDP_RUH_NOT_SHARED_OK, FORMAT_NVM_FDP_DISABLED_OK</t>
  </si>
  <si>
    <t xml:space="preserve">Bit 08 PIL: 1=PI first bytes, 0=PI last bytes</t>
  </si>
  <si>
    <t xml:space="preserve">FORMAT_NVM_PIL0_PI_LAST, FORMAT_NVM_PIL1_PI_FIRST_LEGACY, FORMAT_NVM_DPS_PIP_BIT_PIL0</t>
  </si>
  <si>
    <t xml:space="preserve">Bit 08 PIL: shall be cleared to 0 for v1.0+ compliant implementations</t>
  </si>
  <si>
    <t xml:space="preserve">Bit 08 PIL: setting reported in DPS, constrained by DPC</t>
  </si>
  <si>
    <t xml:space="preserve">FORMAT_NVM_PIL_UNSUPPORTED_BY_DPC, FORMAT_NVM_DPS_REPORTED_AFTER_FORMAT, FORMAT_NVM_PI000_DPS_PIP_DONTCARE</t>
  </si>
  <si>
    <t xml:space="preserve">Bits 07:05 PI: 000b/001b/010b/011b valid; 100b-111b reserved</t>
  </si>
  <si>
    <t xml:space="preserve">FORMAT_NVM_PI_000_DISABLED_OK, FORMAT_NVM_PI_001_TYPE1_OK, FORMAT_NVM_PI_010_TYPE2_OK, FORMAT_NVM_PI_011_TYPE3_OK, FORMAT_NVM_PI_100_RESERVED_FAIL, FORMAT_NVM_PI_101_RESERVED_FAIL, FORMAT_NVM_PI_111_RESERVED_FAIL</t>
  </si>
  <si>
    <t xml:space="preserve">PI: host specifies in Copy/Read/Verify/Write/Compare commands when enabled</t>
  </si>
  <si>
    <t xml:space="preserve">PI: must be supported by DPC field</t>
  </si>
  <si>
    <t xml:space="preserve">Bit 04 MSET: 1=extended LBA, 0=separate buffer</t>
  </si>
  <si>
    <t xml:space="preserve">FORMAT_NVM_MSET0_SEPARATE_BUFFER_OK, FORMAT_NVM_MSET1_EXTENDED_LBA_OK, FORMAT_NVM_MSET_NOT_SUPPORTED_BY_MC</t>
  </si>
  <si>
    <t xml:space="preserve">Bit 04 MSET: ignored if metadata size is 0h</t>
  </si>
  <si>
    <t xml:space="preserve">FLBAS reflects new LBAF &amp; MSET after format</t>
  </si>
  <si>
    <t xml:space="preserve">FORMAT_NVM_FLBAS_REPORTED_AFTER_FORMAT, FORMAT_NVM_LBAFE_EXTENDED_INDEX</t>
  </si>
  <si>
    <t xml:space="preserve">NSID handling (broadcast / invalid / inactive)</t>
  </si>
  <si>
    <t xml:space="preserve">FORMAT_NVM_NSID_BROADCAST_OK, FORMAT_NVM_NSID_ZERO_FAIL, FORMAT_NVM_NSID_INACTIVE_FAIL, FORMAT_NVM_FNA_CRYPTO_ERASE</t>
  </si>
  <si>
    <t xml:space="preserve">Concurrency / state-machine behavior</t>
  </si>
  <si>
    <t xml:space="preserve">FORMAT_NVM_CONCURRENT_IO, FORMAT_NVM_DOUBLE_ISSUE, FORMAT_NVM_REPEATED_BACK_TO_BACK, FORMAT_NVM_LOW_POWER_STATE, FORMAT_NVM_LBAFEE_TRANSITION</t>
  </si>
  <si>
    <t xml:space="preserve">Reserved CDW10 bits</t>
  </si>
  <si>
    <t xml:space="preserve">FORMAT_NVM_RESERVED_BITS_NONZERO, FORMAT_NVM_CDW10_RESERVED_RANGE, FORMAT_NVM_TRANSPORT_PRP_INVALID</t>
  </si>
  <si>
    <t xml:space="preserve">Combined valid scenarios</t>
  </si>
  <si>
    <t xml:space="preserve">FORMAT_NVM_COMBINED_TYPE1_EXT_LAST_OK, FORMAT_NVM_COMBINED_TYPE3_SEP_OK, FORMAT_NVM_DATA_ERASURE</t>
  </si>
</sst>
</file>

<file path=xl/styles.xml><?xml version="1.0" encoding="utf-8"?>
<styleSheet xmlns="http://schemas.openxmlformats.org/spreadsheetml/2006/main">
  <numFmts count="2">
    <numFmt numFmtId="164" formatCode="General"/>
    <numFmt numFmtId="165" formatCode="0.0%"/>
  </numFmts>
  <fonts count="9">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0"/>
      <name val="Arial"/>
      <family val="0"/>
      <charset val="1"/>
    </font>
    <font>
      <b val="true"/>
      <sz val="14"/>
      <color rgb="FF1F4E78"/>
      <name val="Arial"/>
      <family val="0"/>
      <charset val="1"/>
    </font>
    <font>
      <sz val="11"/>
      <name val="Arial"/>
      <family val="0"/>
      <charset val="1"/>
    </font>
    <font>
      <b val="true"/>
      <sz val="12"/>
      <name val="Arial"/>
      <family val="0"/>
      <charset val="1"/>
    </font>
  </fonts>
  <fills count="6">
    <fill>
      <patternFill patternType="none"/>
    </fill>
    <fill>
      <patternFill patternType="gray125"/>
    </fill>
    <fill>
      <patternFill patternType="solid">
        <fgColor rgb="FF1F4E78"/>
        <bgColor rgb="FF003366"/>
      </patternFill>
    </fill>
    <fill>
      <patternFill patternType="solid">
        <fgColor rgb="FFE2EFDA"/>
        <bgColor rgb="FFFCE4D6"/>
      </patternFill>
    </fill>
    <fill>
      <patternFill patternType="solid">
        <fgColor rgb="FFFCE4D6"/>
        <bgColor rgb="FFFFF2CC"/>
      </patternFill>
    </fill>
    <fill>
      <patternFill patternType="solid">
        <fgColor rgb="FFFFF2CC"/>
        <bgColor rgb="FFFCE4D6"/>
      </patternFill>
    </fill>
  </fills>
  <borders count="2">
    <border diagonalUp="false" diagonalDown="false">
      <left/>
      <right/>
      <top/>
      <bottom/>
      <diagonal/>
    </border>
    <border diagonalUp="false" diagonalDown="false">
      <left style="thin">
        <color rgb="FF999999"/>
      </left>
      <right style="thin">
        <color rgb="FF999999"/>
      </right>
      <top style="thin">
        <color rgb="FF999999"/>
      </top>
      <bottom style="thin">
        <color rgb="FF99999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left" vertical="top" textRotation="0" wrapText="true" indent="0" shrinkToFit="false"/>
      <protection locked="true" hidden="false"/>
    </xf>
    <xf numFmtId="164" fontId="5" fillId="4" borderId="1" xfId="0" applyFont="true" applyBorder="true" applyAlignment="true" applyProtection="false">
      <alignment horizontal="left" vertical="top" textRotation="0" wrapText="true" indent="0" shrinkToFit="false"/>
      <protection locked="true" hidden="false"/>
    </xf>
    <xf numFmtId="164" fontId="5" fillId="5" borderId="1" xfId="0" applyFont="true" applyBorder="true" applyAlignment="true" applyProtection="false">
      <alignment horizontal="left" vertical="top" textRotation="0" wrapText="tru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1F4E78"/>
          <bgColor rgb="FF000000"/>
        </patternFill>
      </fill>
    </dxf>
    <dxf>
      <fill>
        <patternFill patternType="solid">
          <fgColor rgb="FFE2EFDA"/>
          <bgColor rgb="FF000000"/>
        </patternFill>
      </fill>
    </dxf>
    <dxf>
      <fill>
        <patternFill patternType="solid">
          <fgColor rgb="FFFCE4D6"/>
          <bgColor rgb="FF000000"/>
        </patternFill>
      </fill>
    </dxf>
    <dxf>
      <fill>
        <patternFill patternType="solid">
          <fgColor rgb="FFFFF2CC"/>
          <bgColor rgb="FF000000"/>
        </patternFill>
      </fill>
    </dxf>
    <dxf>
      <fill>
        <patternFill patternType="solid">
          <fgColor rgb="FFFFFFFF"/>
          <bgColor rgb="FF000000"/>
        </patternFill>
      </fill>
    </dxf>
    <dxf>
      <fill>
        <patternFill patternType="soli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3366FF"/>
      <rgbColor rgb="FF33CCCC"/>
      <rgbColor rgb="FF99CC00"/>
      <rgbColor rgb="FFFFCC00"/>
      <rgbColor rgb="FFFF9900"/>
      <rgbColor rgb="FFFF6600"/>
      <rgbColor rgb="FF666699"/>
      <rgbColor rgb="FF999999"/>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6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38"/>
    <col collapsed="false" customWidth="true" hidden="false" outlineLevel="0" max="3" min="3" style="0" width="36"/>
    <col collapsed="false" customWidth="true" hidden="false" outlineLevel="0" max="4" min="4" style="0" width="60"/>
    <col collapsed="false" customWidth="true" hidden="false" outlineLevel="0" max="5" min="5" style="0" width="50"/>
    <col collapsed="false" customWidth="true" hidden="false" outlineLevel="0" max="6" min="6" style="0" width="60"/>
    <col collapsed="false" customWidth="true" hidden="false" outlineLevel="0" max="7" min="7" style="0" width="55"/>
    <col collapsed="false" customWidth="true" hidden="false" outlineLevel="0" max="8" min="8" style="0" width="14"/>
    <col collapsed="false" customWidth="true" hidden="false" outlineLevel="0" max="9" min="9" style="0" width="22"/>
    <col collapsed="false" customWidth="true" hidden="false" outlineLevel="0" max="10" min="10" style="0" width="30"/>
    <col collapsed="false" customWidth="true" hidden="false" outlineLevel="0" max="11" min="11" style="0" width="28"/>
  </cols>
  <sheetData>
    <row r="1" customFormat="false" ht="30" hidden="false" customHeight="true" outlineLevel="0" collapsed="false">
      <c r="A1" s="1" t="s">
        <v>0</v>
      </c>
      <c r="B1" s="1" t="s">
        <v>1</v>
      </c>
      <c r="C1" s="1" t="s">
        <v>2</v>
      </c>
      <c r="D1" s="1" t="s">
        <v>3</v>
      </c>
      <c r="E1" s="1" t="s">
        <v>4</v>
      </c>
      <c r="F1" s="1" t="s">
        <v>5</v>
      </c>
      <c r="G1" s="1" t="s">
        <v>6</v>
      </c>
      <c r="H1" s="1" t="s">
        <v>7</v>
      </c>
      <c r="I1" s="1" t="s">
        <v>8</v>
      </c>
      <c r="J1" s="1" t="s">
        <v>9</v>
      </c>
      <c r="K1" s="1" t="s">
        <v>10</v>
      </c>
    </row>
    <row r="2" customFormat="false" ht="129.75" hidden="false" customHeight="true" outlineLevel="0" collapsed="false">
      <c r="A2" s="2" t="s">
        <v>11</v>
      </c>
      <c r="B2" s="2" t="s">
        <v>12</v>
      </c>
      <c r="C2" s="2" t="s">
        <v>13</v>
      </c>
      <c r="D2" s="2" t="s">
        <v>14</v>
      </c>
      <c r="E2" s="2" t="s">
        <v>15</v>
      </c>
      <c r="F2" s="2" t="s">
        <v>16</v>
      </c>
      <c r="G2" s="2" t="s">
        <v>17</v>
      </c>
      <c r="H2" s="2" t="s">
        <v>18</v>
      </c>
      <c r="I2" s="2" t="s">
        <v>19</v>
      </c>
      <c r="J2" s="2" t="s">
        <v>20</v>
      </c>
      <c r="K2" s="2" t="s">
        <v>21</v>
      </c>
    </row>
    <row r="3" customFormat="false" ht="129.75" hidden="false" customHeight="true" outlineLevel="0" collapsed="false">
      <c r="A3" s="2" t="s">
        <v>22</v>
      </c>
      <c r="B3" s="2" t="s">
        <v>23</v>
      </c>
      <c r="C3" s="2" t="s">
        <v>24</v>
      </c>
      <c r="D3" s="2" t="s">
        <v>25</v>
      </c>
      <c r="E3" s="2" t="s">
        <v>26</v>
      </c>
      <c r="F3" s="2" t="s">
        <v>27</v>
      </c>
      <c r="G3" s="2" t="s">
        <v>28</v>
      </c>
      <c r="H3" s="2" t="s">
        <v>18</v>
      </c>
      <c r="I3" s="2" t="s">
        <v>19</v>
      </c>
      <c r="J3" s="2" t="s">
        <v>20</v>
      </c>
      <c r="K3" s="2" t="s">
        <v>29</v>
      </c>
    </row>
    <row r="4" customFormat="false" ht="129.75" hidden="false" customHeight="true" outlineLevel="0" collapsed="false">
      <c r="A4" s="3" t="s">
        <v>30</v>
      </c>
      <c r="B4" s="3" t="s">
        <v>31</v>
      </c>
      <c r="C4" s="3" t="s">
        <v>32</v>
      </c>
      <c r="D4" s="3" t="s">
        <v>33</v>
      </c>
      <c r="E4" s="3" t="s">
        <v>34</v>
      </c>
      <c r="F4" s="3" t="s">
        <v>35</v>
      </c>
      <c r="G4" s="3" t="s">
        <v>36</v>
      </c>
      <c r="H4" s="3" t="s">
        <v>37</v>
      </c>
      <c r="I4" s="3" t="s">
        <v>19</v>
      </c>
      <c r="J4" s="3" t="s">
        <v>20</v>
      </c>
      <c r="K4" s="3" t="s">
        <v>29</v>
      </c>
    </row>
    <row r="5" customFormat="false" ht="129.75" hidden="false" customHeight="true" outlineLevel="0" collapsed="false">
      <c r="A5" s="3" t="s">
        <v>38</v>
      </c>
      <c r="B5" s="3" t="s">
        <v>39</v>
      </c>
      <c r="C5" s="3" t="s">
        <v>40</v>
      </c>
      <c r="D5" s="3" t="s">
        <v>41</v>
      </c>
      <c r="E5" s="3" t="s">
        <v>42</v>
      </c>
      <c r="F5" s="3" t="s">
        <v>43</v>
      </c>
      <c r="G5" s="3" t="s">
        <v>44</v>
      </c>
      <c r="H5" s="3" t="s">
        <v>37</v>
      </c>
      <c r="I5" s="3" t="s">
        <v>45</v>
      </c>
      <c r="J5" s="3" t="s">
        <v>20</v>
      </c>
      <c r="K5" s="3" t="s">
        <v>29</v>
      </c>
    </row>
    <row r="6" customFormat="false" ht="129.75" hidden="false" customHeight="true" outlineLevel="0" collapsed="false">
      <c r="A6" s="2" t="s">
        <v>46</v>
      </c>
      <c r="B6" s="2" t="s">
        <v>47</v>
      </c>
      <c r="C6" s="2" t="s">
        <v>48</v>
      </c>
      <c r="D6" s="2" t="s">
        <v>49</v>
      </c>
      <c r="E6" s="2" t="s">
        <v>50</v>
      </c>
      <c r="F6" s="2" t="s">
        <v>51</v>
      </c>
      <c r="G6" s="2" t="s">
        <v>52</v>
      </c>
      <c r="H6" s="2" t="s">
        <v>18</v>
      </c>
      <c r="I6" s="2" t="s">
        <v>53</v>
      </c>
      <c r="J6" s="2" t="s">
        <v>54</v>
      </c>
      <c r="K6" s="2" t="s">
        <v>29</v>
      </c>
    </row>
    <row r="7" customFormat="false" ht="129.75" hidden="false" customHeight="true" outlineLevel="0" collapsed="false">
      <c r="A7" s="4" t="s">
        <v>55</v>
      </c>
      <c r="B7" s="4" t="s">
        <v>56</v>
      </c>
      <c r="C7" s="4" t="s">
        <v>57</v>
      </c>
      <c r="D7" s="4" t="s">
        <v>58</v>
      </c>
      <c r="E7" s="4" t="s">
        <v>59</v>
      </c>
      <c r="F7" s="4" t="s">
        <v>60</v>
      </c>
      <c r="G7" s="4" t="s">
        <v>61</v>
      </c>
      <c r="H7" s="4" t="s">
        <v>62</v>
      </c>
      <c r="I7" s="4" t="s">
        <v>63</v>
      </c>
      <c r="J7" s="4" t="s">
        <v>54</v>
      </c>
      <c r="K7" s="4" t="s">
        <v>29</v>
      </c>
    </row>
    <row r="8" customFormat="false" ht="129.75" hidden="false" customHeight="true" outlineLevel="0" collapsed="false">
      <c r="A8" s="2" t="s">
        <v>64</v>
      </c>
      <c r="B8" s="2" t="s">
        <v>65</v>
      </c>
      <c r="C8" s="2" t="s">
        <v>66</v>
      </c>
      <c r="D8" s="2" t="s">
        <v>67</v>
      </c>
      <c r="E8" s="2" t="s">
        <v>68</v>
      </c>
      <c r="F8" s="2" t="s">
        <v>69</v>
      </c>
      <c r="G8" s="2" t="s">
        <v>70</v>
      </c>
      <c r="H8" s="2" t="s">
        <v>18</v>
      </c>
      <c r="I8" s="2" t="s">
        <v>53</v>
      </c>
      <c r="J8" s="2" t="s">
        <v>71</v>
      </c>
      <c r="K8" s="2" t="s">
        <v>72</v>
      </c>
    </row>
    <row r="9" customFormat="false" ht="129.75" hidden="false" customHeight="true" outlineLevel="0" collapsed="false">
      <c r="A9" s="3" t="s">
        <v>73</v>
      </c>
      <c r="B9" s="3" t="s">
        <v>74</v>
      </c>
      <c r="C9" s="3" t="s">
        <v>75</v>
      </c>
      <c r="D9" s="3" t="s">
        <v>76</v>
      </c>
      <c r="E9" s="3" t="s">
        <v>77</v>
      </c>
      <c r="F9" s="3" t="s">
        <v>78</v>
      </c>
      <c r="G9" s="3" t="s">
        <v>79</v>
      </c>
      <c r="H9" s="3" t="s">
        <v>37</v>
      </c>
      <c r="I9" s="3" t="s">
        <v>53</v>
      </c>
      <c r="J9" s="3" t="s">
        <v>71</v>
      </c>
      <c r="K9" s="3" t="s">
        <v>80</v>
      </c>
    </row>
    <row r="10" customFormat="false" ht="129.75" hidden="false" customHeight="true" outlineLevel="0" collapsed="false">
      <c r="A10" s="3" t="s">
        <v>81</v>
      </c>
      <c r="B10" s="3" t="s">
        <v>82</v>
      </c>
      <c r="C10" s="3" t="s">
        <v>83</v>
      </c>
      <c r="D10" s="3" t="s">
        <v>84</v>
      </c>
      <c r="E10" s="3" t="s">
        <v>85</v>
      </c>
      <c r="F10" s="3" t="s">
        <v>86</v>
      </c>
      <c r="G10" s="3" t="s">
        <v>87</v>
      </c>
      <c r="H10" s="3" t="s">
        <v>37</v>
      </c>
      <c r="I10" s="3" t="s">
        <v>53</v>
      </c>
      <c r="J10" s="3" t="s">
        <v>71</v>
      </c>
      <c r="K10" s="3" t="s">
        <v>88</v>
      </c>
    </row>
    <row r="11" customFormat="false" ht="129.75" hidden="false" customHeight="true" outlineLevel="0" collapsed="false">
      <c r="A11" s="3" t="s">
        <v>89</v>
      </c>
      <c r="B11" s="3" t="s">
        <v>90</v>
      </c>
      <c r="C11" s="3" t="s">
        <v>91</v>
      </c>
      <c r="D11" s="3" t="s">
        <v>92</v>
      </c>
      <c r="E11" s="3" t="s">
        <v>93</v>
      </c>
      <c r="F11" s="3" t="s">
        <v>94</v>
      </c>
      <c r="G11" s="3" t="s">
        <v>87</v>
      </c>
      <c r="H11" s="3" t="s">
        <v>37</v>
      </c>
      <c r="I11" s="3" t="s">
        <v>53</v>
      </c>
      <c r="J11" s="3" t="s">
        <v>71</v>
      </c>
      <c r="K11" s="3" t="s">
        <v>95</v>
      </c>
    </row>
    <row r="12" customFormat="false" ht="129.75" hidden="false" customHeight="true" outlineLevel="0" collapsed="false">
      <c r="A12" s="3" t="s">
        <v>96</v>
      </c>
      <c r="B12" s="3" t="s">
        <v>97</v>
      </c>
      <c r="C12" s="3" t="s">
        <v>98</v>
      </c>
      <c r="D12" s="3" t="s">
        <v>99</v>
      </c>
      <c r="E12" s="3" t="s">
        <v>100</v>
      </c>
      <c r="F12" s="3" t="s">
        <v>101</v>
      </c>
      <c r="G12" s="3" t="s">
        <v>102</v>
      </c>
      <c r="H12" s="3" t="s">
        <v>37</v>
      </c>
      <c r="I12" s="3" t="s">
        <v>45</v>
      </c>
      <c r="J12" s="3" t="s">
        <v>71</v>
      </c>
      <c r="K12" s="3" t="s">
        <v>103</v>
      </c>
    </row>
    <row r="13" customFormat="false" ht="129.75" hidden="false" customHeight="true" outlineLevel="0" collapsed="false">
      <c r="A13" s="3" t="s">
        <v>104</v>
      </c>
      <c r="B13" s="3" t="s">
        <v>105</v>
      </c>
      <c r="C13" s="3" t="s">
        <v>106</v>
      </c>
      <c r="D13" s="3" t="s">
        <v>107</v>
      </c>
      <c r="E13" s="3" t="s">
        <v>108</v>
      </c>
      <c r="F13" s="3" t="s">
        <v>109</v>
      </c>
      <c r="G13" s="3" t="s">
        <v>110</v>
      </c>
      <c r="H13" s="3" t="s">
        <v>37</v>
      </c>
      <c r="I13" s="3" t="s">
        <v>45</v>
      </c>
      <c r="J13" s="3" t="s">
        <v>71</v>
      </c>
      <c r="K13" s="3" t="s">
        <v>29</v>
      </c>
    </row>
    <row r="14" customFormat="false" ht="129.75" hidden="false" customHeight="true" outlineLevel="0" collapsed="false">
      <c r="A14" s="2" t="s">
        <v>111</v>
      </c>
      <c r="B14" s="2" t="s">
        <v>112</v>
      </c>
      <c r="C14" s="2" t="s">
        <v>113</v>
      </c>
      <c r="D14" s="2" t="s">
        <v>114</v>
      </c>
      <c r="E14" s="2" t="s">
        <v>115</v>
      </c>
      <c r="F14" s="2" t="s">
        <v>116</v>
      </c>
      <c r="G14" s="2" t="s">
        <v>117</v>
      </c>
      <c r="H14" s="2" t="s">
        <v>18</v>
      </c>
      <c r="I14" s="2" t="s">
        <v>53</v>
      </c>
      <c r="J14" s="2" t="s">
        <v>71</v>
      </c>
      <c r="K14" s="2" t="s">
        <v>29</v>
      </c>
    </row>
    <row r="15" customFormat="false" ht="129.75" hidden="false" customHeight="true" outlineLevel="0" collapsed="false">
      <c r="A15" s="2" t="s">
        <v>118</v>
      </c>
      <c r="B15" s="2" t="s">
        <v>119</v>
      </c>
      <c r="C15" s="2" t="s">
        <v>120</v>
      </c>
      <c r="D15" s="2" t="s">
        <v>121</v>
      </c>
      <c r="E15" s="2" t="s">
        <v>122</v>
      </c>
      <c r="F15" s="2" t="s">
        <v>123</v>
      </c>
      <c r="G15" s="2" t="s">
        <v>124</v>
      </c>
      <c r="H15" s="2" t="s">
        <v>18</v>
      </c>
      <c r="I15" s="2" t="s">
        <v>53</v>
      </c>
      <c r="J15" s="2" t="s">
        <v>71</v>
      </c>
      <c r="K15" s="2" t="s">
        <v>29</v>
      </c>
    </row>
    <row r="16" customFormat="false" ht="129.75" hidden="false" customHeight="true" outlineLevel="0" collapsed="false">
      <c r="A16" s="2" t="s">
        <v>125</v>
      </c>
      <c r="B16" s="2" t="s">
        <v>126</v>
      </c>
      <c r="C16" s="2" t="s">
        <v>127</v>
      </c>
      <c r="D16" s="2" t="s">
        <v>128</v>
      </c>
      <c r="E16" s="2" t="s">
        <v>129</v>
      </c>
      <c r="F16" s="2" t="s">
        <v>130</v>
      </c>
      <c r="G16" s="2" t="s">
        <v>131</v>
      </c>
      <c r="H16" s="2" t="s">
        <v>18</v>
      </c>
      <c r="I16" s="2" t="s">
        <v>53</v>
      </c>
      <c r="J16" s="2" t="s">
        <v>132</v>
      </c>
      <c r="K16" s="2" t="s">
        <v>133</v>
      </c>
    </row>
    <row r="17" customFormat="false" ht="129.75" hidden="false" customHeight="true" outlineLevel="0" collapsed="false">
      <c r="A17" s="3" t="s">
        <v>134</v>
      </c>
      <c r="B17" s="3" t="s">
        <v>135</v>
      </c>
      <c r="C17" s="3" t="s">
        <v>136</v>
      </c>
      <c r="D17" s="3" t="s">
        <v>137</v>
      </c>
      <c r="E17" s="3" t="s">
        <v>138</v>
      </c>
      <c r="F17" s="3" t="s">
        <v>139</v>
      </c>
      <c r="G17" s="3" t="s">
        <v>140</v>
      </c>
      <c r="H17" s="3" t="s">
        <v>37</v>
      </c>
      <c r="I17" s="3" t="s">
        <v>53</v>
      </c>
      <c r="J17" s="3" t="s">
        <v>132</v>
      </c>
      <c r="K17" s="3" t="s">
        <v>141</v>
      </c>
    </row>
    <row r="18" customFormat="false" ht="129.75" hidden="false" customHeight="true" outlineLevel="0" collapsed="false">
      <c r="A18" s="4" t="s">
        <v>142</v>
      </c>
      <c r="B18" s="4" t="s">
        <v>143</v>
      </c>
      <c r="C18" s="4" t="s">
        <v>144</v>
      </c>
      <c r="D18" s="4" t="s">
        <v>145</v>
      </c>
      <c r="E18" s="4" t="s">
        <v>146</v>
      </c>
      <c r="F18" s="4" t="s">
        <v>147</v>
      </c>
      <c r="G18" s="4" t="s">
        <v>148</v>
      </c>
      <c r="H18" s="4" t="s">
        <v>62</v>
      </c>
      <c r="I18" s="4" t="s">
        <v>63</v>
      </c>
      <c r="J18" s="4" t="s">
        <v>132</v>
      </c>
      <c r="K18" s="4" t="s">
        <v>149</v>
      </c>
    </row>
    <row r="19" customFormat="false" ht="129.75" hidden="false" customHeight="true" outlineLevel="0" collapsed="false">
      <c r="A19" s="2" t="s">
        <v>150</v>
      </c>
      <c r="B19" s="2" t="s">
        <v>151</v>
      </c>
      <c r="C19" s="2" t="s">
        <v>152</v>
      </c>
      <c r="D19" s="2" t="s">
        <v>153</v>
      </c>
      <c r="E19" s="2" t="s">
        <v>154</v>
      </c>
      <c r="F19" s="2" t="s">
        <v>155</v>
      </c>
      <c r="G19" s="2" t="s">
        <v>156</v>
      </c>
      <c r="H19" s="2" t="s">
        <v>18</v>
      </c>
      <c r="I19" s="2" t="s">
        <v>53</v>
      </c>
      <c r="J19" s="2" t="s">
        <v>157</v>
      </c>
      <c r="K19" s="2" t="s">
        <v>158</v>
      </c>
    </row>
    <row r="20" customFormat="false" ht="129.75" hidden="false" customHeight="true" outlineLevel="0" collapsed="false">
      <c r="A20" s="2" t="s">
        <v>159</v>
      </c>
      <c r="B20" s="2" t="s">
        <v>160</v>
      </c>
      <c r="C20" s="2" t="s">
        <v>161</v>
      </c>
      <c r="D20" s="2" t="s">
        <v>162</v>
      </c>
      <c r="E20" s="2" t="s">
        <v>163</v>
      </c>
      <c r="F20" s="2" t="s">
        <v>164</v>
      </c>
      <c r="G20" s="2" t="s">
        <v>156</v>
      </c>
      <c r="H20" s="2" t="s">
        <v>18</v>
      </c>
      <c r="I20" s="2" t="s">
        <v>53</v>
      </c>
      <c r="J20" s="2" t="s">
        <v>157</v>
      </c>
      <c r="K20" s="2" t="s">
        <v>158</v>
      </c>
    </row>
    <row r="21" customFormat="false" ht="129.75" hidden="false" customHeight="true" outlineLevel="0" collapsed="false">
      <c r="A21" s="3" t="s">
        <v>165</v>
      </c>
      <c r="B21" s="3" t="s">
        <v>166</v>
      </c>
      <c r="C21" s="3" t="s">
        <v>167</v>
      </c>
      <c r="D21" s="3" t="s">
        <v>168</v>
      </c>
      <c r="E21" s="3" t="s">
        <v>169</v>
      </c>
      <c r="F21" s="3" t="s">
        <v>170</v>
      </c>
      <c r="G21" s="3" t="s">
        <v>171</v>
      </c>
      <c r="H21" s="3" t="s">
        <v>37</v>
      </c>
      <c r="I21" s="3" t="s">
        <v>53</v>
      </c>
      <c r="J21" s="3" t="s">
        <v>157</v>
      </c>
      <c r="K21" s="3" t="s">
        <v>172</v>
      </c>
    </row>
    <row r="22" customFormat="false" ht="129.75" hidden="false" customHeight="true" outlineLevel="0" collapsed="false">
      <c r="A22" s="2" t="s">
        <v>173</v>
      </c>
      <c r="B22" s="2" t="s">
        <v>174</v>
      </c>
      <c r="C22" s="2" t="s">
        <v>175</v>
      </c>
      <c r="D22" s="2" t="s">
        <v>176</v>
      </c>
      <c r="E22" s="2" t="s">
        <v>177</v>
      </c>
      <c r="F22" s="2" t="s">
        <v>178</v>
      </c>
      <c r="G22" s="2" t="s">
        <v>179</v>
      </c>
      <c r="H22" s="2" t="s">
        <v>18</v>
      </c>
      <c r="I22" s="2" t="s">
        <v>53</v>
      </c>
      <c r="J22" s="2" t="s">
        <v>157</v>
      </c>
      <c r="K22" s="2" t="s">
        <v>180</v>
      </c>
    </row>
    <row r="23" customFormat="false" ht="129.75" hidden="false" customHeight="true" outlineLevel="0" collapsed="false">
      <c r="A23" s="2" t="s">
        <v>181</v>
      </c>
      <c r="B23" s="2" t="s">
        <v>182</v>
      </c>
      <c r="C23" s="2" t="s">
        <v>183</v>
      </c>
      <c r="D23" s="2" t="s">
        <v>184</v>
      </c>
      <c r="E23" s="2" t="s">
        <v>185</v>
      </c>
      <c r="F23" s="2" t="s">
        <v>186</v>
      </c>
      <c r="G23" s="2" t="s">
        <v>187</v>
      </c>
      <c r="H23" s="2" t="s">
        <v>18</v>
      </c>
      <c r="I23" s="2" t="s">
        <v>53</v>
      </c>
      <c r="J23" s="2" t="s">
        <v>188</v>
      </c>
      <c r="K23" s="2" t="s">
        <v>189</v>
      </c>
    </row>
    <row r="24" customFormat="false" ht="129.75" hidden="false" customHeight="true" outlineLevel="0" collapsed="false">
      <c r="A24" s="4" t="s">
        <v>190</v>
      </c>
      <c r="B24" s="4" t="s">
        <v>191</v>
      </c>
      <c r="C24" s="4" t="s">
        <v>192</v>
      </c>
      <c r="D24" s="4" t="s">
        <v>193</v>
      </c>
      <c r="E24" s="4" t="s">
        <v>194</v>
      </c>
      <c r="F24" s="4" t="s">
        <v>195</v>
      </c>
      <c r="G24" s="4" t="s">
        <v>196</v>
      </c>
      <c r="H24" s="4" t="s">
        <v>62</v>
      </c>
      <c r="I24" s="4" t="s">
        <v>63</v>
      </c>
      <c r="J24" s="4" t="s">
        <v>188</v>
      </c>
      <c r="K24" s="4" t="s">
        <v>197</v>
      </c>
    </row>
    <row r="25" customFormat="false" ht="129.75" hidden="false" customHeight="true" outlineLevel="0" collapsed="false">
      <c r="A25" s="3" t="s">
        <v>198</v>
      </c>
      <c r="B25" s="3" t="s">
        <v>199</v>
      </c>
      <c r="C25" s="3" t="s">
        <v>200</v>
      </c>
      <c r="D25" s="3" t="s">
        <v>201</v>
      </c>
      <c r="E25" s="3" t="s">
        <v>202</v>
      </c>
      <c r="F25" s="3" t="s">
        <v>203</v>
      </c>
      <c r="G25" s="3" t="s">
        <v>204</v>
      </c>
      <c r="H25" s="3" t="s">
        <v>37</v>
      </c>
      <c r="I25" s="3" t="s">
        <v>45</v>
      </c>
      <c r="J25" s="3" t="s">
        <v>188</v>
      </c>
      <c r="K25" s="3" t="s">
        <v>197</v>
      </c>
    </row>
    <row r="26" customFormat="false" ht="129.75" hidden="false" customHeight="true" outlineLevel="0" collapsed="false">
      <c r="A26" s="4" t="s">
        <v>205</v>
      </c>
      <c r="B26" s="4" t="s">
        <v>206</v>
      </c>
      <c r="C26" s="4" t="s">
        <v>207</v>
      </c>
      <c r="D26" s="4" t="s">
        <v>208</v>
      </c>
      <c r="E26" s="4" t="s">
        <v>209</v>
      </c>
      <c r="F26" s="4" t="s">
        <v>210</v>
      </c>
      <c r="G26" s="4" t="s">
        <v>211</v>
      </c>
      <c r="H26" s="4" t="s">
        <v>62</v>
      </c>
      <c r="I26" s="4" t="s">
        <v>63</v>
      </c>
      <c r="J26" s="4" t="s">
        <v>188</v>
      </c>
      <c r="K26" s="4" t="s">
        <v>189</v>
      </c>
    </row>
    <row r="27" customFormat="false" ht="129.75" hidden="false" customHeight="true" outlineLevel="0" collapsed="false">
      <c r="A27" s="3" t="s">
        <v>212</v>
      </c>
      <c r="B27" s="3" t="s">
        <v>213</v>
      </c>
      <c r="C27" s="3" t="s">
        <v>214</v>
      </c>
      <c r="D27" s="3" t="s">
        <v>215</v>
      </c>
      <c r="E27" s="3" t="s">
        <v>216</v>
      </c>
      <c r="F27" s="3" t="s">
        <v>217</v>
      </c>
      <c r="G27" s="3" t="s">
        <v>218</v>
      </c>
      <c r="H27" s="3" t="s">
        <v>37</v>
      </c>
      <c r="I27" s="3" t="s">
        <v>45</v>
      </c>
      <c r="J27" s="3" t="s">
        <v>188</v>
      </c>
      <c r="K27" s="3" t="s">
        <v>219</v>
      </c>
    </row>
    <row r="28" customFormat="false" ht="129.75" hidden="false" customHeight="true" outlineLevel="0" collapsed="false">
      <c r="A28" s="2" t="s">
        <v>220</v>
      </c>
      <c r="B28" s="2" t="s">
        <v>221</v>
      </c>
      <c r="C28" s="2" t="s">
        <v>222</v>
      </c>
      <c r="D28" s="2" t="s">
        <v>223</v>
      </c>
      <c r="E28" s="2" t="s">
        <v>224</v>
      </c>
      <c r="F28" s="2" t="s">
        <v>225</v>
      </c>
      <c r="G28" s="2" t="s">
        <v>226</v>
      </c>
      <c r="H28" s="2" t="s">
        <v>18</v>
      </c>
      <c r="I28" s="2" t="s">
        <v>19</v>
      </c>
      <c r="J28" s="2" t="s">
        <v>227</v>
      </c>
      <c r="K28" s="2" t="s">
        <v>228</v>
      </c>
    </row>
    <row r="29" customFormat="false" ht="129.75" hidden="false" customHeight="true" outlineLevel="0" collapsed="false">
      <c r="A29" s="2" t="s">
        <v>229</v>
      </c>
      <c r="B29" s="2" t="s">
        <v>230</v>
      </c>
      <c r="C29" s="2" t="s">
        <v>231</v>
      </c>
      <c r="D29" s="2" t="s">
        <v>232</v>
      </c>
      <c r="E29" s="2" t="s">
        <v>233</v>
      </c>
      <c r="F29" s="2" t="s">
        <v>234</v>
      </c>
      <c r="G29" s="2" t="s">
        <v>235</v>
      </c>
      <c r="H29" s="2" t="s">
        <v>18</v>
      </c>
      <c r="I29" s="2" t="s">
        <v>53</v>
      </c>
      <c r="J29" s="2" t="s">
        <v>227</v>
      </c>
      <c r="K29" s="2" t="s">
        <v>228</v>
      </c>
    </row>
    <row r="30" customFormat="false" ht="129.75" hidden="false" customHeight="true" outlineLevel="0" collapsed="false">
      <c r="A30" s="2" t="s">
        <v>236</v>
      </c>
      <c r="B30" s="2" t="s">
        <v>237</v>
      </c>
      <c r="C30" s="2" t="s">
        <v>238</v>
      </c>
      <c r="D30" s="2" t="s">
        <v>239</v>
      </c>
      <c r="E30" s="2" t="s">
        <v>240</v>
      </c>
      <c r="F30" s="2" t="s">
        <v>241</v>
      </c>
      <c r="G30" s="2" t="s">
        <v>242</v>
      </c>
      <c r="H30" s="2" t="s">
        <v>18</v>
      </c>
      <c r="I30" s="2" t="s">
        <v>53</v>
      </c>
      <c r="J30" s="2" t="s">
        <v>227</v>
      </c>
      <c r="K30" s="2" t="s">
        <v>228</v>
      </c>
    </row>
    <row r="31" customFormat="false" ht="129.75" hidden="false" customHeight="true" outlineLevel="0" collapsed="false">
      <c r="A31" s="2" t="s">
        <v>243</v>
      </c>
      <c r="B31" s="2" t="s">
        <v>244</v>
      </c>
      <c r="C31" s="2" t="s">
        <v>245</v>
      </c>
      <c r="D31" s="2" t="s">
        <v>246</v>
      </c>
      <c r="E31" s="2" t="s">
        <v>247</v>
      </c>
      <c r="F31" s="2" t="s">
        <v>248</v>
      </c>
      <c r="G31" s="2" t="s">
        <v>249</v>
      </c>
      <c r="H31" s="2" t="s">
        <v>18</v>
      </c>
      <c r="I31" s="2" t="s">
        <v>19</v>
      </c>
      <c r="J31" s="2" t="s">
        <v>227</v>
      </c>
      <c r="K31" s="2" t="s">
        <v>228</v>
      </c>
    </row>
    <row r="32" customFormat="false" ht="129.75" hidden="false" customHeight="true" outlineLevel="0" collapsed="false">
      <c r="A32" s="3" t="s">
        <v>250</v>
      </c>
      <c r="B32" s="3" t="s">
        <v>251</v>
      </c>
      <c r="C32" s="3" t="s">
        <v>252</v>
      </c>
      <c r="D32" s="3" t="s">
        <v>253</v>
      </c>
      <c r="E32" s="3" t="s">
        <v>254</v>
      </c>
      <c r="F32" s="3" t="s">
        <v>255</v>
      </c>
      <c r="G32" s="3" t="s">
        <v>256</v>
      </c>
      <c r="H32" s="3" t="s">
        <v>37</v>
      </c>
      <c r="I32" s="3" t="s">
        <v>19</v>
      </c>
      <c r="J32" s="3" t="s">
        <v>227</v>
      </c>
      <c r="K32" s="3" t="s">
        <v>257</v>
      </c>
    </row>
    <row r="33" customFormat="false" ht="129.75" hidden="false" customHeight="true" outlineLevel="0" collapsed="false">
      <c r="A33" s="3" t="s">
        <v>258</v>
      </c>
      <c r="B33" s="3" t="s">
        <v>259</v>
      </c>
      <c r="C33" s="3" t="s">
        <v>260</v>
      </c>
      <c r="D33" s="3" t="s">
        <v>261</v>
      </c>
      <c r="E33" s="3" t="s">
        <v>254</v>
      </c>
      <c r="F33" s="3" t="s">
        <v>262</v>
      </c>
      <c r="G33" s="3" t="s">
        <v>263</v>
      </c>
      <c r="H33" s="3" t="s">
        <v>37</v>
      </c>
      <c r="I33" s="3" t="s">
        <v>53</v>
      </c>
      <c r="J33" s="3" t="s">
        <v>227</v>
      </c>
      <c r="K33" s="3" t="s">
        <v>228</v>
      </c>
    </row>
    <row r="34" customFormat="false" ht="129.75" hidden="false" customHeight="true" outlineLevel="0" collapsed="false">
      <c r="A34" s="3" t="s">
        <v>264</v>
      </c>
      <c r="B34" s="3" t="s">
        <v>265</v>
      </c>
      <c r="C34" s="3" t="s">
        <v>266</v>
      </c>
      <c r="D34" s="3" t="s">
        <v>267</v>
      </c>
      <c r="E34" s="3" t="s">
        <v>254</v>
      </c>
      <c r="F34" s="3" t="s">
        <v>268</v>
      </c>
      <c r="G34" s="3" t="s">
        <v>263</v>
      </c>
      <c r="H34" s="3" t="s">
        <v>37</v>
      </c>
      <c r="I34" s="3" t="s">
        <v>19</v>
      </c>
      <c r="J34" s="3" t="s">
        <v>227</v>
      </c>
      <c r="K34" s="3" t="s">
        <v>228</v>
      </c>
    </row>
    <row r="35" customFormat="false" ht="129.75" hidden="false" customHeight="true" outlineLevel="0" collapsed="false">
      <c r="A35" s="3" t="s">
        <v>269</v>
      </c>
      <c r="B35" s="3" t="s">
        <v>270</v>
      </c>
      <c r="C35" s="3" t="s">
        <v>271</v>
      </c>
      <c r="D35" s="3" t="s">
        <v>272</v>
      </c>
      <c r="E35" s="3" t="s">
        <v>273</v>
      </c>
      <c r="F35" s="3" t="s">
        <v>274</v>
      </c>
      <c r="G35" s="3" t="s">
        <v>275</v>
      </c>
      <c r="H35" s="3" t="s">
        <v>37</v>
      </c>
      <c r="I35" s="3" t="s">
        <v>45</v>
      </c>
      <c r="J35" s="3" t="s">
        <v>227</v>
      </c>
      <c r="K35" s="3" t="s">
        <v>276</v>
      </c>
    </row>
    <row r="36" customFormat="false" ht="129.75" hidden="false" customHeight="true" outlineLevel="0" collapsed="false">
      <c r="A36" s="2" t="s">
        <v>277</v>
      </c>
      <c r="B36" s="2" t="s">
        <v>278</v>
      </c>
      <c r="C36" s="2" t="s">
        <v>279</v>
      </c>
      <c r="D36" s="2" t="s">
        <v>280</v>
      </c>
      <c r="E36" s="2" t="s">
        <v>281</v>
      </c>
      <c r="F36" s="2" t="s">
        <v>282</v>
      </c>
      <c r="G36" s="2" t="s">
        <v>283</v>
      </c>
      <c r="H36" s="2" t="s">
        <v>18</v>
      </c>
      <c r="I36" s="2" t="s">
        <v>63</v>
      </c>
      <c r="J36" s="2" t="s">
        <v>227</v>
      </c>
      <c r="K36" s="2" t="s">
        <v>284</v>
      </c>
    </row>
    <row r="37" customFormat="false" ht="129.75" hidden="false" customHeight="true" outlineLevel="0" collapsed="false">
      <c r="A37" s="2" t="s">
        <v>285</v>
      </c>
      <c r="B37" s="2" t="s">
        <v>286</v>
      </c>
      <c r="C37" s="2" t="s">
        <v>287</v>
      </c>
      <c r="D37" s="2" t="s">
        <v>288</v>
      </c>
      <c r="E37" s="2" t="s">
        <v>289</v>
      </c>
      <c r="F37" s="2" t="s">
        <v>290</v>
      </c>
      <c r="G37" s="2" t="s">
        <v>291</v>
      </c>
      <c r="H37" s="2" t="s">
        <v>18</v>
      </c>
      <c r="I37" s="2" t="s">
        <v>53</v>
      </c>
      <c r="J37" s="2" t="s">
        <v>292</v>
      </c>
      <c r="K37" s="2" t="s">
        <v>293</v>
      </c>
    </row>
    <row r="38" customFormat="false" ht="129.75" hidden="false" customHeight="true" outlineLevel="0" collapsed="false">
      <c r="A38" s="2" t="s">
        <v>294</v>
      </c>
      <c r="B38" s="2" t="s">
        <v>295</v>
      </c>
      <c r="C38" s="2" t="s">
        <v>296</v>
      </c>
      <c r="D38" s="2" t="s">
        <v>297</v>
      </c>
      <c r="E38" s="2" t="s">
        <v>298</v>
      </c>
      <c r="F38" s="2" t="s">
        <v>299</v>
      </c>
      <c r="G38" s="2" t="s">
        <v>300</v>
      </c>
      <c r="H38" s="2" t="s">
        <v>18</v>
      </c>
      <c r="I38" s="2" t="s">
        <v>53</v>
      </c>
      <c r="J38" s="2" t="s">
        <v>292</v>
      </c>
      <c r="K38" s="2" t="s">
        <v>293</v>
      </c>
    </row>
    <row r="39" customFormat="false" ht="129.75" hidden="false" customHeight="true" outlineLevel="0" collapsed="false">
      <c r="A39" s="4" t="s">
        <v>301</v>
      </c>
      <c r="B39" s="4" t="s">
        <v>302</v>
      </c>
      <c r="C39" s="4" t="s">
        <v>303</v>
      </c>
      <c r="D39" s="4" t="s">
        <v>304</v>
      </c>
      <c r="E39" s="4" t="s">
        <v>305</v>
      </c>
      <c r="F39" s="4" t="s">
        <v>306</v>
      </c>
      <c r="G39" s="4" t="s">
        <v>307</v>
      </c>
      <c r="H39" s="4" t="s">
        <v>62</v>
      </c>
      <c r="I39" s="4" t="s">
        <v>63</v>
      </c>
      <c r="J39" s="4" t="s">
        <v>292</v>
      </c>
      <c r="K39" s="4" t="s">
        <v>308</v>
      </c>
    </row>
    <row r="40" customFormat="false" ht="129.75" hidden="false" customHeight="true" outlineLevel="0" collapsed="false">
      <c r="A40" s="3" t="s">
        <v>309</v>
      </c>
      <c r="B40" s="3" t="s">
        <v>310</v>
      </c>
      <c r="C40" s="3" t="s">
        <v>311</v>
      </c>
      <c r="D40" s="3" t="s">
        <v>312</v>
      </c>
      <c r="E40" s="3" t="s">
        <v>313</v>
      </c>
      <c r="F40" s="3" t="s">
        <v>314</v>
      </c>
      <c r="G40" s="3" t="s">
        <v>275</v>
      </c>
      <c r="H40" s="3" t="s">
        <v>37</v>
      </c>
      <c r="I40" s="3" t="s">
        <v>45</v>
      </c>
      <c r="J40" s="3" t="s">
        <v>292</v>
      </c>
      <c r="K40" s="3" t="s">
        <v>315</v>
      </c>
    </row>
    <row r="41" customFormat="false" ht="129.75" hidden="false" customHeight="true" outlineLevel="0" collapsed="false">
      <c r="A41" s="2" t="s">
        <v>316</v>
      </c>
      <c r="B41" s="2" t="s">
        <v>317</v>
      </c>
      <c r="C41" s="2" t="s">
        <v>318</v>
      </c>
      <c r="D41" s="2" t="s">
        <v>319</v>
      </c>
      <c r="E41" s="2" t="s">
        <v>320</v>
      </c>
      <c r="F41" s="2" t="s">
        <v>321</v>
      </c>
      <c r="G41" s="2" t="s">
        <v>322</v>
      </c>
      <c r="H41" s="2" t="s">
        <v>18</v>
      </c>
      <c r="I41" s="2" t="s">
        <v>53</v>
      </c>
      <c r="J41" s="2" t="s">
        <v>323</v>
      </c>
      <c r="K41" s="2" t="s">
        <v>324</v>
      </c>
    </row>
    <row r="42" customFormat="false" ht="129.75" hidden="false" customHeight="true" outlineLevel="0" collapsed="false">
      <c r="A42" s="3" t="s">
        <v>325</v>
      </c>
      <c r="B42" s="3" t="s">
        <v>326</v>
      </c>
      <c r="C42" s="3" t="s">
        <v>327</v>
      </c>
      <c r="D42" s="3" t="s">
        <v>328</v>
      </c>
      <c r="E42" s="3" t="s">
        <v>254</v>
      </c>
      <c r="F42" s="3" t="s">
        <v>329</v>
      </c>
      <c r="G42" s="3" t="s">
        <v>330</v>
      </c>
      <c r="H42" s="3" t="s">
        <v>37</v>
      </c>
      <c r="I42" s="3" t="s">
        <v>19</v>
      </c>
      <c r="J42" s="3" t="s">
        <v>323</v>
      </c>
      <c r="K42" s="3" t="s">
        <v>331</v>
      </c>
    </row>
    <row r="43" customFormat="false" ht="129.75" hidden="false" customHeight="true" outlineLevel="0" collapsed="false">
      <c r="A43" s="3" t="s">
        <v>332</v>
      </c>
      <c r="B43" s="3" t="s">
        <v>333</v>
      </c>
      <c r="C43" s="3" t="s">
        <v>334</v>
      </c>
      <c r="D43" s="3" t="s">
        <v>335</v>
      </c>
      <c r="E43" s="3" t="s">
        <v>336</v>
      </c>
      <c r="F43" s="3" t="s">
        <v>337</v>
      </c>
      <c r="G43" s="3" t="s">
        <v>110</v>
      </c>
      <c r="H43" s="3" t="s">
        <v>37</v>
      </c>
      <c r="I43" s="3" t="s">
        <v>45</v>
      </c>
      <c r="J43" s="3" t="s">
        <v>323</v>
      </c>
      <c r="K43" s="3" t="s">
        <v>331</v>
      </c>
    </row>
    <row r="44" customFormat="false" ht="129.75" hidden="false" customHeight="true" outlineLevel="0" collapsed="false">
      <c r="A44" s="4" t="s">
        <v>338</v>
      </c>
      <c r="B44" s="4" t="s">
        <v>339</v>
      </c>
      <c r="C44" s="4" t="s">
        <v>340</v>
      </c>
      <c r="D44" s="4" t="s">
        <v>341</v>
      </c>
      <c r="E44" s="4" t="s">
        <v>342</v>
      </c>
      <c r="F44" s="4" t="s">
        <v>343</v>
      </c>
      <c r="G44" s="4" t="s">
        <v>344</v>
      </c>
      <c r="H44" s="4" t="s">
        <v>62</v>
      </c>
      <c r="I44" s="4" t="s">
        <v>63</v>
      </c>
      <c r="J44" s="4" t="s">
        <v>345</v>
      </c>
      <c r="K44" s="4" t="s">
        <v>346</v>
      </c>
    </row>
    <row r="45" customFormat="false" ht="129.75" hidden="false" customHeight="true" outlineLevel="0" collapsed="false">
      <c r="A45" s="4" t="s">
        <v>347</v>
      </c>
      <c r="B45" s="4" t="s">
        <v>348</v>
      </c>
      <c r="C45" s="4" t="s">
        <v>349</v>
      </c>
      <c r="D45" s="4" t="s">
        <v>350</v>
      </c>
      <c r="E45" s="4" t="s">
        <v>351</v>
      </c>
      <c r="F45" s="4" t="s">
        <v>352</v>
      </c>
      <c r="G45" s="4" t="s">
        <v>353</v>
      </c>
      <c r="H45" s="4" t="s">
        <v>62</v>
      </c>
      <c r="I45" s="4" t="s">
        <v>63</v>
      </c>
      <c r="J45" s="4" t="s">
        <v>354</v>
      </c>
      <c r="K45" s="4" t="s">
        <v>355</v>
      </c>
    </row>
    <row r="46" customFormat="false" ht="129.75" hidden="false" customHeight="true" outlineLevel="0" collapsed="false">
      <c r="A46" s="4" t="s">
        <v>356</v>
      </c>
      <c r="B46" s="4" t="s">
        <v>357</v>
      </c>
      <c r="C46" s="4" t="s">
        <v>358</v>
      </c>
      <c r="D46" s="4" t="s">
        <v>359</v>
      </c>
      <c r="E46" s="4" t="s">
        <v>254</v>
      </c>
      <c r="F46" s="4" t="s">
        <v>360</v>
      </c>
      <c r="G46" s="4" t="s">
        <v>361</v>
      </c>
      <c r="H46" s="4" t="s">
        <v>62</v>
      </c>
      <c r="I46" s="4" t="s">
        <v>45</v>
      </c>
      <c r="J46" s="4" t="s">
        <v>362</v>
      </c>
      <c r="K46" s="4" t="s">
        <v>363</v>
      </c>
    </row>
    <row r="47" customFormat="false" ht="129.75" hidden="false" customHeight="true" outlineLevel="0" collapsed="false">
      <c r="A47" s="2" t="s">
        <v>364</v>
      </c>
      <c r="B47" s="2" t="s">
        <v>365</v>
      </c>
      <c r="C47" s="2" t="s">
        <v>366</v>
      </c>
      <c r="D47" s="2" t="s">
        <v>367</v>
      </c>
      <c r="E47" s="2" t="s">
        <v>368</v>
      </c>
      <c r="F47" s="2" t="s">
        <v>369</v>
      </c>
      <c r="G47" s="2" t="s">
        <v>370</v>
      </c>
      <c r="H47" s="2" t="s">
        <v>18</v>
      </c>
      <c r="I47" s="2" t="s">
        <v>63</v>
      </c>
      <c r="J47" s="2" t="s">
        <v>371</v>
      </c>
      <c r="K47" s="2" t="s">
        <v>372</v>
      </c>
    </row>
    <row r="48" customFormat="false" ht="129.75" hidden="false" customHeight="true" outlineLevel="0" collapsed="false">
      <c r="A48" s="2" t="s">
        <v>373</v>
      </c>
      <c r="B48" s="2" t="s">
        <v>374</v>
      </c>
      <c r="C48" s="2" t="s">
        <v>375</v>
      </c>
      <c r="D48" s="2" t="s">
        <v>376</v>
      </c>
      <c r="E48" s="2" t="s">
        <v>377</v>
      </c>
      <c r="F48" s="2" t="s">
        <v>378</v>
      </c>
      <c r="G48" s="2" t="s">
        <v>379</v>
      </c>
      <c r="H48" s="2" t="s">
        <v>18</v>
      </c>
      <c r="I48" s="2" t="s">
        <v>63</v>
      </c>
      <c r="J48" s="2" t="s">
        <v>371</v>
      </c>
      <c r="K48" s="2" t="s">
        <v>380</v>
      </c>
    </row>
    <row r="49" customFormat="false" ht="129.75" hidden="false" customHeight="true" outlineLevel="0" collapsed="false">
      <c r="A49" s="4" t="s">
        <v>381</v>
      </c>
      <c r="B49" s="4" t="s">
        <v>382</v>
      </c>
      <c r="C49" s="4" t="s">
        <v>383</v>
      </c>
      <c r="D49" s="4" t="s">
        <v>384</v>
      </c>
      <c r="E49" s="4" t="s">
        <v>385</v>
      </c>
      <c r="F49" s="4" t="s">
        <v>386</v>
      </c>
      <c r="G49" s="4" t="s">
        <v>387</v>
      </c>
      <c r="H49" s="4" t="s">
        <v>62</v>
      </c>
      <c r="I49" s="4" t="s">
        <v>63</v>
      </c>
      <c r="J49" s="4" t="s">
        <v>388</v>
      </c>
      <c r="K49" s="4" t="s">
        <v>29</v>
      </c>
    </row>
    <row r="50" customFormat="false" ht="129.75" hidden="false" customHeight="true" outlineLevel="0" collapsed="false">
      <c r="A50" s="2" t="s">
        <v>389</v>
      </c>
      <c r="B50" s="2" t="s">
        <v>390</v>
      </c>
      <c r="C50" s="2" t="s">
        <v>391</v>
      </c>
      <c r="D50" s="2" t="s">
        <v>392</v>
      </c>
      <c r="E50" s="2" t="s">
        <v>393</v>
      </c>
      <c r="F50" s="2" t="s">
        <v>394</v>
      </c>
      <c r="G50" s="2" t="s">
        <v>395</v>
      </c>
      <c r="H50" s="2" t="s">
        <v>18</v>
      </c>
      <c r="I50" s="2" t="s">
        <v>19</v>
      </c>
      <c r="J50" s="2" t="s">
        <v>71</v>
      </c>
      <c r="K50" s="2" t="s">
        <v>396</v>
      </c>
    </row>
    <row r="51" customFormat="false" ht="129.75" hidden="false" customHeight="true" outlineLevel="0" collapsed="false">
      <c r="A51" s="4" t="s">
        <v>397</v>
      </c>
      <c r="B51" s="4" t="s">
        <v>398</v>
      </c>
      <c r="C51" s="4" t="s">
        <v>399</v>
      </c>
      <c r="D51" s="4" t="s">
        <v>400</v>
      </c>
      <c r="E51" s="4" t="s">
        <v>254</v>
      </c>
      <c r="F51" s="4" t="s">
        <v>401</v>
      </c>
      <c r="G51" s="4" t="s">
        <v>402</v>
      </c>
      <c r="H51" s="4" t="s">
        <v>62</v>
      </c>
      <c r="I51" s="4" t="s">
        <v>45</v>
      </c>
      <c r="J51" s="4" t="s">
        <v>403</v>
      </c>
      <c r="K51" s="4" t="s">
        <v>404</v>
      </c>
    </row>
    <row r="52" customFormat="false" ht="129.75" hidden="false" customHeight="true" outlineLevel="0" collapsed="false">
      <c r="A52" s="2" t="s">
        <v>405</v>
      </c>
      <c r="B52" s="2" t="s">
        <v>406</v>
      </c>
      <c r="C52" s="2" t="s">
        <v>407</v>
      </c>
      <c r="D52" s="2" t="s">
        <v>408</v>
      </c>
      <c r="E52" s="2" t="s">
        <v>409</v>
      </c>
      <c r="F52" s="2" t="s">
        <v>410</v>
      </c>
      <c r="G52" s="2" t="s">
        <v>411</v>
      </c>
      <c r="H52" s="2" t="s">
        <v>18</v>
      </c>
      <c r="I52" s="2" t="s">
        <v>63</v>
      </c>
      <c r="J52" s="2" t="s">
        <v>412</v>
      </c>
      <c r="K52" s="2" t="s">
        <v>413</v>
      </c>
    </row>
    <row r="53" customFormat="false" ht="129.75" hidden="false" customHeight="true" outlineLevel="0" collapsed="false">
      <c r="A53" s="2" t="s">
        <v>414</v>
      </c>
      <c r="B53" s="2" t="s">
        <v>415</v>
      </c>
      <c r="C53" s="2" t="s">
        <v>416</v>
      </c>
      <c r="D53" s="2" t="s">
        <v>417</v>
      </c>
      <c r="E53" s="2" t="s">
        <v>418</v>
      </c>
      <c r="F53" s="2" t="s">
        <v>419</v>
      </c>
      <c r="G53" s="2" t="s">
        <v>420</v>
      </c>
      <c r="H53" s="2" t="s">
        <v>18</v>
      </c>
      <c r="I53" s="2" t="s">
        <v>63</v>
      </c>
      <c r="J53" s="2" t="s">
        <v>421</v>
      </c>
      <c r="K53" s="2" t="s">
        <v>422</v>
      </c>
    </row>
    <row r="54" customFormat="false" ht="129.75" hidden="false" customHeight="true" outlineLevel="0" collapsed="false">
      <c r="A54" s="4" t="s">
        <v>423</v>
      </c>
      <c r="B54" s="4" t="s">
        <v>424</v>
      </c>
      <c r="C54" s="4" t="s">
        <v>425</v>
      </c>
      <c r="D54" s="4" t="s">
        <v>426</v>
      </c>
      <c r="E54" s="4" t="s">
        <v>427</v>
      </c>
      <c r="F54" s="4" t="s">
        <v>428</v>
      </c>
      <c r="G54" s="4" t="s">
        <v>429</v>
      </c>
      <c r="H54" s="4" t="s">
        <v>62</v>
      </c>
      <c r="I54" s="4" t="s">
        <v>63</v>
      </c>
      <c r="J54" s="4" t="s">
        <v>20</v>
      </c>
      <c r="K54" s="4" t="s">
        <v>29</v>
      </c>
    </row>
    <row r="55" customFormat="false" ht="129.75" hidden="false" customHeight="true" outlineLevel="0" collapsed="false">
      <c r="A55" s="4" t="s">
        <v>430</v>
      </c>
      <c r="B55" s="4" t="s">
        <v>431</v>
      </c>
      <c r="C55" s="4" t="s">
        <v>432</v>
      </c>
      <c r="D55" s="4" t="s">
        <v>433</v>
      </c>
      <c r="E55" s="4" t="s">
        <v>434</v>
      </c>
      <c r="F55" s="4" t="s">
        <v>435</v>
      </c>
      <c r="G55" s="4" t="s">
        <v>436</v>
      </c>
      <c r="H55" s="4" t="s">
        <v>62</v>
      </c>
      <c r="I55" s="4" t="s">
        <v>45</v>
      </c>
      <c r="J55" s="4" t="s">
        <v>437</v>
      </c>
      <c r="K55" s="4" t="s">
        <v>29</v>
      </c>
    </row>
    <row r="56" customFormat="false" ht="129.75" hidden="false" customHeight="true" outlineLevel="0" collapsed="false">
      <c r="A56" s="4" t="s">
        <v>438</v>
      </c>
      <c r="B56" s="4" t="s">
        <v>439</v>
      </c>
      <c r="C56" s="4" t="s">
        <v>440</v>
      </c>
      <c r="D56" s="4" t="s">
        <v>441</v>
      </c>
      <c r="E56" s="4" t="s">
        <v>224</v>
      </c>
      <c r="F56" s="4" t="s">
        <v>442</v>
      </c>
      <c r="G56" s="4" t="s">
        <v>443</v>
      </c>
      <c r="H56" s="4" t="s">
        <v>62</v>
      </c>
      <c r="I56" s="4" t="s">
        <v>63</v>
      </c>
      <c r="J56" s="4" t="s">
        <v>444</v>
      </c>
      <c r="K56" s="4" t="s">
        <v>380</v>
      </c>
    </row>
    <row r="57" customFormat="false" ht="129.75" hidden="false" customHeight="true" outlineLevel="0" collapsed="false">
      <c r="A57" s="2" t="s">
        <v>445</v>
      </c>
      <c r="B57" s="2" t="s">
        <v>446</v>
      </c>
      <c r="C57" s="2" t="s">
        <v>447</v>
      </c>
      <c r="D57" s="2" t="s">
        <v>448</v>
      </c>
      <c r="E57" s="2" t="s">
        <v>449</v>
      </c>
      <c r="F57" s="2" t="s">
        <v>450</v>
      </c>
      <c r="G57" s="2" t="s">
        <v>451</v>
      </c>
      <c r="H57" s="2" t="s">
        <v>18</v>
      </c>
      <c r="I57" s="2" t="s">
        <v>63</v>
      </c>
      <c r="J57" s="2" t="s">
        <v>452</v>
      </c>
      <c r="K57" s="2" t="s">
        <v>453</v>
      </c>
    </row>
    <row r="58" customFormat="false" ht="129.75" hidden="false" customHeight="true" outlineLevel="0" collapsed="false">
      <c r="A58" s="4" t="s">
        <v>454</v>
      </c>
      <c r="B58" s="4" t="s">
        <v>455</v>
      </c>
      <c r="C58" s="4" t="s">
        <v>456</v>
      </c>
      <c r="D58" s="4" t="s">
        <v>457</v>
      </c>
      <c r="E58" s="4" t="s">
        <v>458</v>
      </c>
      <c r="F58" s="4" t="s">
        <v>459</v>
      </c>
      <c r="G58" s="4" t="s">
        <v>460</v>
      </c>
      <c r="H58" s="4" t="s">
        <v>62</v>
      </c>
      <c r="I58" s="4" t="s">
        <v>63</v>
      </c>
      <c r="J58" s="4" t="s">
        <v>461</v>
      </c>
      <c r="K58" s="4" t="s">
        <v>404</v>
      </c>
    </row>
    <row r="59" customFormat="false" ht="129.75" hidden="false" customHeight="true" outlineLevel="0" collapsed="false">
      <c r="A59" s="4" t="s">
        <v>462</v>
      </c>
      <c r="B59" s="4" t="s">
        <v>463</v>
      </c>
      <c r="C59" s="4" t="s">
        <v>464</v>
      </c>
      <c r="D59" s="4" t="s">
        <v>465</v>
      </c>
      <c r="E59" s="4" t="s">
        <v>466</v>
      </c>
      <c r="F59" s="4" t="s">
        <v>467</v>
      </c>
      <c r="G59" s="4" t="s">
        <v>468</v>
      </c>
      <c r="H59" s="4" t="s">
        <v>62</v>
      </c>
      <c r="I59" s="4" t="s">
        <v>63</v>
      </c>
      <c r="J59" s="4" t="s">
        <v>469</v>
      </c>
      <c r="K59" s="4" t="s">
        <v>72</v>
      </c>
    </row>
    <row r="60" customFormat="false" ht="129.75" hidden="false" customHeight="true" outlineLevel="0" collapsed="false">
      <c r="A60" s="2" t="s">
        <v>470</v>
      </c>
      <c r="B60" s="2" t="s">
        <v>471</v>
      </c>
      <c r="C60" s="2" t="s">
        <v>472</v>
      </c>
      <c r="D60" s="2" t="s">
        <v>473</v>
      </c>
      <c r="E60" s="2" t="s">
        <v>474</v>
      </c>
      <c r="F60" s="2" t="s">
        <v>475</v>
      </c>
      <c r="G60" s="2" t="s">
        <v>476</v>
      </c>
      <c r="H60" s="2" t="s">
        <v>18</v>
      </c>
      <c r="I60" s="2" t="s">
        <v>19</v>
      </c>
      <c r="J60" s="2" t="s">
        <v>412</v>
      </c>
      <c r="K60" s="2" t="s">
        <v>189</v>
      </c>
    </row>
    <row r="61" customFormat="false" ht="129.75" hidden="false" customHeight="true" outlineLevel="0" collapsed="false">
      <c r="A61" s="4" t="s">
        <v>477</v>
      </c>
      <c r="B61" s="4" t="s">
        <v>478</v>
      </c>
      <c r="C61" s="4" t="s">
        <v>479</v>
      </c>
      <c r="D61" s="4" t="s">
        <v>480</v>
      </c>
      <c r="E61" s="4" t="s">
        <v>254</v>
      </c>
      <c r="F61" s="4" t="s">
        <v>481</v>
      </c>
      <c r="G61" s="4" t="s">
        <v>482</v>
      </c>
      <c r="H61" s="4" t="s">
        <v>62</v>
      </c>
      <c r="I61" s="4" t="s">
        <v>63</v>
      </c>
      <c r="J61" s="4" t="s">
        <v>362</v>
      </c>
      <c r="K61" s="4" t="s">
        <v>363</v>
      </c>
    </row>
    <row r="62" customFormat="false" ht="129.75" hidden="false" customHeight="true" outlineLevel="0" collapsed="false">
      <c r="A62" s="2" t="s">
        <v>483</v>
      </c>
      <c r="B62" s="2" t="s">
        <v>484</v>
      </c>
      <c r="C62" s="2" t="s">
        <v>485</v>
      </c>
      <c r="D62" s="2" t="s">
        <v>486</v>
      </c>
      <c r="E62" s="2" t="s">
        <v>487</v>
      </c>
      <c r="F62" s="2" t="s">
        <v>488</v>
      </c>
      <c r="G62" s="2" t="s">
        <v>489</v>
      </c>
      <c r="H62" s="2" t="s">
        <v>18</v>
      </c>
      <c r="I62" s="2" t="s">
        <v>53</v>
      </c>
      <c r="J62" s="2" t="s">
        <v>71</v>
      </c>
      <c r="K62" s="2" t="s">
        <v>490</v>
      </c>
    </row>
    <row r="63" customFormat="false" ht="129.75" hidden="false" customHeight="true" outlineLevel="0" collapsed="false">
      <c r="A63" s="4" t="s">
        <v>491</v>
      </c>
      <c r="B63" s="4" t="s">
        <v>492</v>
      </c>
      <c r="C63" s="4" t="s">
        <v>493</v>
      </c>
      <c r="D63" s="4" t="s">
        <v>494</v>
      </c>
      <c r="E63" s="4" t="s">
        <v>495</v>
      </c>
      <c r="F63" s="4" t="s">
        <v>496</v>
      </c>
      <c r="G63" s="4" t="s">
        <v>497</v>
      </c>
      <c r="H63" s="4" t="s">
        <v>62</v>
      </c>
      <c r="I63" s="4" t="s">
        <v>63</v>
      </c>
      <c r="J63" s="4" t="s">
        <v>498</v>
      </c>
      <c r="K63" s="4" t="s">
        <v>453</v>
      </c>
    </row>
  </sheetData>
  <autoFilter ref="A1:K6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7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0"/>
    <col collapsed="false" customWidth="true" hidden="false" outlineLevel="0" max="2" min="2" style="0" width="70"/>
    <col collapsed="false" customWidth="true" hidden="false" outlineLevel="0" max="3" min="3" style="0" width="14"/>
  </cols>
  <sheetData>
    <row r="1" customFormat="false" ht="17.35" hidden="false" customHeight="false" outlineLevel="0" collapsed="false">
      <c r="A1" s="5" t="s">
        <v>499</v>
      </c>
      <c r="B1" s="5"/>
      <c r="C1" s="5"/>
      <c r="D1" s="5"/>
    </row>
    <row r="3" customFormat="false" ht="15" hidden="false" customHeight="false" outlineLevel="0" collapsed="false">
      <c r="A3" s="6" t="s">
        <v>500</v>
      </c>
      <c r="B3" s="6" t="s">
        <v>501</v>
      </c>
      <c r="C3" s="6"/>
      <c r="D3" s="6"/>
    </row>
    <row r="4" customFormat="false" ht="15" hidden="false" customHeight="false" outlineLevel="0" collapsed="false">
      <c r="A4" s="6" t="s">
        <v>502</v>
      </c>
      <c r="B4" s="6" t="s">
        <v>503</v>
      </c>
      <c r="C4" s="6"/>
      <c r="D4" s="6"/>
    </row>
    <row r="5" customFormat="false" ht="15" hidden="false" customHeight="false" outlineLevel="0" collapsed="false">
      <c r="A5" s="6" t="s">
        <v>504</v>
      </c>
      <c r="B5" s="6" t="n">
        <v>62</v>
      </c>
      <c r="C5" s="6"/>
      <c r="D5" s="6"/>
    </row>
    <row r="6" customFormat="false" ht="15" hidden="false" customHeight="false" outlineLevel="0" collapsed="false">
      <c r="A6" s="6"/>
      <c r="B6" s="6"/>
      <c r="C6" s="6"/>
      <c r="D6" s="6"/>
    </row>
    <row r="7" customFormat="false" ht="15" hidden="false" customHeight="false" outlineLevel="0" collapsed="false">
      <c r="A7" s="7" t="s">
        <v>505</v>
      </c>
      <c r="B7" s="6"/>
      <c r="C7" s="6"/>
      <c r="D7" s="6"/>
    </row>
    <row r="8" customFormat="false" ht="15" hidden="false" customHeight="false" outlineLevel="0" collapsed="false">
      <c r="A8" s="8" t="s">
        <v>506</v>
      </c>
      <c r="B8" s="8" t="s">
        <v>507</v>
      </c>
      <c r="C8" s="8" t="s">
        <v>508</v>
      </c>
      <c r="D8" s="6"/>
    </row>
    <row r="9" customFormat="false" ht="15" hidden="false" customHeight="false" outlineLevel="0" collapsed="false">
      <c r="A9" s="6" t="s">
        <v>18</v>
      </c>
      <c r="B9" s="6" t="n">
        <f aca="false">COUNTIF('Format NVM Test Scenarios'!H:H,"Positive")</f>
        <v>27</v>
      </c>
      <c r="C9" s="9" t="n">
        <f aca="false">B9/$B$5</f>
        <v>0.435483870967742</v>
      </c>
      <c r="D9" s="6"/>
    </row>
    <row r="10" customFormat="false" ht="15" hidden="false" customHeight="false" outlineLevel="0" collapsed="false">
      <c r="A10" s="6" t="s">
        <v>37</v>
      </c>
      <c r="B10" s="6" t="n">
        <f aca="false">COUNTIF('Format NVM Test Scenarios'!H:H,"Negative")</f>
        <v>18</v>
      </c>
      <c r="C10" s="9" t="n">
        <f aca="false">B10/$B$5</f>
        <v>0.290322580645161</v>
      </c>
      <c r="D10" s="6"/>
    </row>
    <row r="11" customFormat="false" ht="15" hidden="false" customHeight="false" outlineLevel="0" collapsed="false">
      <c r="A11" s="6" t="s">
        <v>62</v>
      </c>
      <c r="B11" s="6" t="n">
        <f aca="false">COUNTIF('Format NVM Test Scenarios'!H:H,"Corner")</f>
        <v>17</v>
      </c>
      <c r="C11" s="9" t="n">
        <f aca="false">B11/$B$5</f>
        <v>0.274193548387097</v>
      </c>
      <c r="D11" s="6"/>
    </row>
    <row r="12" customFormat="false" ht="15" hidden="false" customHeight="false" outlineLevel="0" collapsed="false">
      <c r="A12" s="6"/>
      <c r="B12" s="6"/>
      <c r="C12" s="6"/>
      <c r="D12" s="6"/>
    </row>
    <row r="13" customFormat="false" ht="15" hidden="false" customHeight="false" outlineLevel="0" collapsed="false">
      <c r="A13" s="7" t="s">
        <v>509</v>
      </c>
      <c r="B13" s="6"/>
      <c r="C13" s="6"/>
      <c r="D13" s="6"/>
    </row>
    <row r="14" customFormat="false" ht="15" hidden="false" customHeight="false" outlineLevel="0" collapsed="false">
      <c r="A14" s="8" t="s">
        <v>9</v>
      </c>
      <c r="B14" s="8" t="s">
        <v>510</v>
      </c>
      <c r="C14" s="6"/>
      <c r="D14" s="6"/>
    </row>
    <row r="15" customFormat="false" ht="15" hidden="false" customHeight="false" outlineLevel="0" collapsed="false">
      <c r="A15" s="6" t="s">
        <v>371</v>
      </c>
      <c r="B15" s="6" t="n">
        <f aca="false">COUNTIF('Format NVM Test Scenarios'!J:J,"Combined fields")</f>
        <v>2</v>
      </c>
      <c r="C15" s="6"/>
      <c r="D15" s="6"/>
    </row>
    <row r="16" customFormat="false" ht="15" hidden="false" customHeight="false" outlineLevel="0" collapsed="false">
      <c r="A16" s="6" t="s">
        <v>354</v>
      </c>
      <c r="B16" s="6" t="n">
        <f aca="false">COUNTIF('Format NVM Test Scenarios'!J:J,"Concurrency")</f>
        <v>1</v>
      </c>
      <c r="C16" s="6"/>
      <c r="D16" s="6"/>
    </row>
    <row r="17" customFormat="false" ht="15" hidden="false" customHeight="false" outlineLevel="0" collapsed="false">
      <c r="A17" s="6" t="s">
        <v>437</v>
      </c>
      <c r="B17" s="6" t="n">
        <f aca="false">COUNTIF('Format NVM Test Scenarios'!J:J,"Concurrency / state machine")</f>
        <v>1</v>
      </c>
      <c r="C17" s="6"/>
      <c r="D17" s="6"/>
    </row>
    <row r="18" customFormat="false" ht="15" hidden="false" customHeight="false" outlineLevel="0" collapsed="false">
      <c r="A18" s="6" t="s">
        <v>412</v>
      </c>
      <c r="B18" s="6" t="n">
        <f aca="false">COUNTIF('Format NVM Test Scenarios'!J:J,"DPS reporting")</f>
        <v>2</v>
      </c>
      <c r="C18" s="6"/>
      <c r="D18" s="6"/>
    </row>
    <row r="19" customFormat="false" ht="15" hidden="false" customHeight="false" outlineLevel="0" collapsed="false">
      <c r="A19" s="6" t="s">
        <v>444</v>
      </c>
      <c r="B19" s="6" t="n">
        <f aca="false">COUNTIF('Format NVM Test Scenarios'!J:J,"DPS reporting / PI interaction")</f>
        <v>1</v>
      </c>
      <c r="C19" s="6"/>
      <c r="D19" s="6"/>
    </row>
    <row r="20" customFormat="false" ht="15" hidden="false" customHeight="false" outlineLevel="0" collapsed="false">
      <c r="A20" s="6" t="s">
        <v>452</v>
      </c>
      <c r="B20" s="6" t="n">
        <f aca="false">COUNTIF('Format NVM Test Scenarios'!J:J,"Data integrity post-format")</f>
        <v>1</v>
      </c>
      <c r="C20" s="6"/>
      <c r="D20" s="6"/>
    </row>
    <row r="21" customFormat="false" ht="15" hidden="false" customHeight="false" outlineLevel="0" collapsed="false">
      <c r="A21" s="6" t="s">
        <v>421</v>
      </c>
      <c r="B21" s="6" t="n">
        <f aca="false">COUNTIF('Format NVM Test Scenarios'!J:J,"FLBAS reporting")</f>
        <v>1</v>
      </c>
      <c r="C21" s="6"/>
      <c r="D21" s="6"/>
    </row>
    <row r="22" customFormat="false" ht="15" hidden="false" customHeight="false" outlineLevel="0" collapsed="false">
      <c r="A22" s="6" t="s">
        <v>498</v>
      </c>
      <c r="B22" s="6" t="n">
        <f aca="false">COUNTIF('Format NVM Test Scenarios'!J:J,"FNA (Format NVM Attributes)")</f>
        <v>1</v>
      </c>
      <c r="C22" s="6"/>
      <c r="D22" s="6"/>
    </row>
    <row r="23" customFormat="false" ht="15" hidden="false" customHeight="false" outlineLevel="0" collapsed="false">
      <c r="A23" s="6" t="s">
        <v>157</v>
      </c>
      <c r="B23" s="6" t="n">
        <f aca="false">COUNTIF('Format NVM Test Scenarios'!J:J,"Flexible Data Placement")</f>
        <v>4</v>
      </c>
      <c r="C23" s="6"/>
      <c r="D23" s="6"/>
    </row>
    <row r="24" customFormat="false" ht="15" hidden="false" customHeight="false" outlineLevel="0" collapsed="false">
      <c r="A24" s="6" t="s">
        <v>20</v>
      </c>
      <c r="B24" s="6" t="n">
        <f aca="false">COUNTIF('Format NVM Test Scenarios'!J:J,"Format Index validation")</f>
        <v>5</v>
      </c>
      <c r="C24" s="6"/>
      <c r="D24" s="6"/>
    </row>
    <row r="25" customFormat="false" ht="15" hidden="false" customHeight="false" outlineLevel="0" collapsed="false">
      <c r="A25" s="6" t="s">
        <v>71</v>
      </c>
      <c r="B25" s="6" t="n">
        <f aca="false">COUNTIF('Format NVM Test Scenarios'!J:J,"LBAFEE / extended PI handling")</f>
        <v>10</v>
      </c>
      <c r="C25" s="6"/>
      <c r="D25" s="6"/>
    </row>
    <row r="26" customFormat="false" ht="15" hidden="false" customHeight="false" outlineLevel="0" collapsed="false">
      <c r="A26" s="6" t="s">
        <v>469</v>
      </c>
      <c r="B26" s="6" t="n">
        <f aca="false">COUNTIF('Format NVM Test Scenarios'!J:J,"LBAFEE state transitions")</f>
        <v>1</v>
      </c>
      <c r="C26" s="6"/>
      <c r="D26" s="6"/>
    </row>
    <row r="27" customFormat="false" ht="15" hidden="false" customHeight="false" outlineLevel="0" collapsed="false">
      <c r="A27" s="6" t="s">
        <v>292</v>
      </c>
      <c r="B27" s="6" t="n">
        <f aca="false">COUNTIF('Format NVM Test Scenarios'!J:J,"Metadata Settings (MSET)")</f>
        <v>4</v>
      </c>
      <c r="C27" s="6"/>
      <c r="D27" s="6"/>
    </row>
    <row r="28" customFormat="false" ht="15" hidden="false" customHeight="false" outlineLevel="0" collapsed="false">
      <c r="A28" s="6" t="s">
        <v>323</v>
      </c>
      <c r="B28" s="6" t="n">
        <f aca="false">COUNTIF('Format NVM Test Scenarios'!J:J,"NSID handling")</f>
        <v>3</v>
      </c>
      <c r="C28" s="6"/>
      <c r="D28" s="6"/>
    </row>
    <row r="29" customFormat="false" ht="15" hidden="false" customHeight="false" outlineLevel="0" collapsed="false">
      <c r="A29" s="6" t="s">
        <v>54</v>
      </c>
      <c r="B29" s="6" t="n">
        <f aca="false">COUNTIF('Format NVM Test Scenarios'!J:J,"Namespace size/capacity behavior")</f>
        <v>2</v>
      </c>
      <c r="C29" s="6"/>
      <c r="D29" s="6"/>
    </row>
    <row r="30" customFormat="false" ht="15" hidden="false" customHeight="false" outlineLevel="0" collapsed="false">
      <c r="A30" s="6" t="s">
        <v>461</v>
      </c>
      <c r="B30" s="6" t="n">
        <f aca="false">COUNTIF('Format NVM Test Scenarios'!J:J,"Power state interaction")</f>
        <v>1</v>
      </c>
      <c r="C30" s="6"/>
      <c r="D30" s="6"/>
    </row>
    <row r="31" customFormat="false" ht="15" hidden="false" customHeight="false" outlineLevel="0" collapsed="false">
      <c r="A31" s="6" t="s">
        <v>227</v>
      </c>
      <c r="B31" s="6" t="n">
        <f aca="false">COUNTIF('Format NVM Test Scenarios'!J:J,"Protection Information (PI) field")</f>
        <v>9</v>
      </c>
      <c r="C31" s="6"/>
      <c r="D31" s="6"/>
    </row>
    <row r="32" customFormat="false" ht="15" hidden="false" customHeight="false" outlineLevel="0" collapsed="false">
      <c r="A32" s="6" t="s">
        <v>188</v>
      </c>
      <c r="B32" s="6" t="n">
        <f aca="false">COUNTIF('Format NVM Test Scenarios'!J:J,"Protection Information Location (PIL)")</f>
        <v>5</v>
      </c>
      <c r="C32" s="6"/>
      <c r="D32" s="6"/>
    </row>
    <row r="33" customFormat="false" ht="15" hidden="false" customHeight="false" outlineLevel="0" collapsed="false">
      <c r="A33" s="6" t="s">
        <v>345</v>
      </c>
      <c r="B33" s="6" t="n">
        <f aca="false">COUNTIF('Format NVM Test Scenarios'!J:J,"Reservation interaction")</f>
        <v>1</v>
      </c>
      <c r="C33" s="6"/>
      <c r="D33" s="6"/>
    </row>
    <row r="34" customFormat="false" ht="15" hidden="false" customHeight="false" outlineLevel="0" collapsed="false">
      <c r="A34" s="6" t="s">
        <v>362</v>
      </c>
      <c r="B34" s="6" t="n">
        <f aca="false">COUNTIF('Format NVM Test Scenarios'!J:J,"Reserved field handling")</f>
        <v>2</v>
      </c>
      <c r="C34" s="6"/>
      <c r="D34" s="6"/>
    </row>
    <row r="35" customFormat="false" ht="15" hidden="false" customHeight="false" outlineLevel="0" collapsed="false">
      <c r="A35" s="6" t="s">
        <v>403</v>
      </c>
      <c r="B35" s="6" t="n">
        <f aca="false">COUNTIF('Format NVM Test Scenarios'!J:J,"SQE DPTR handling")</f>
        <v>1</v>
      </c>
      <c r="C35" s="6"/>
      <c r="D35" s="6"/>
    </row>
    <row r="36" customFormat="false" ht="15" hidden="false" customHeight="false" outlineLevel="0" collapsed="false">
      <c r="A36" s="6" t="s">
        <v>132</v>
      </c>
      <c r="B36" s="6" t="n">
        <f aca="false">COUNTIF('Format NVM Test Scenarios'!J:J,"STS field consistency")</f>
        <v>3</v>
      </c>
      <c r="C36" s="6"/>
      <c r="D36" s="6"/>
    </row>
    <row r="37" customFormat="false" ht="15" hidden="false" customHeight="false" outlineLevel="0" collapsed="false">
      <c r="A37" s="6" t="s">
        <v>388</v>
      </c>
      <c r="B37" s="6" t="n">
        <f aca="false">COUNTIF('Format NVM Test Scenarios'!J:J,"State machine / repeated ops")</f>
        <v>1</v>
      </c>
      <c r="C37" s="6"/>
      <c r="D37" s="6"/>
    </row>
    <row r="38" customFormat="false" ht="15" hidden="false" customHeight="false" outlineLevel="0" collapsed="false">
      <c r="A38" s="6"/>
      <c r="B38" s="6"/>
      <c r="C38" s="6"/>
      <c r="D38" s="6"/>
    </row>
    <row r="39" customFormat="false" ht="15" hidden="false" customHeight="false" outlineLevel="0" collapsed="false">
      <c r="A39" s="6"/>
      <c r="B39" s="6"/>
      <c r="C39" s="6"/>
      <c r="D39" s="6"/>
    </row>
    <row r="40" customFormat="false" ht="15" hidden="false" customHeight="false" outlineLevel="0" collapsed="false">
      <c r="A40" s="7" t="s">
        <v>511</v>
      </c>
      <c r="B40" s="6"/>
      <c r="C40" s="6"/>
      <c r="D40" s="6"/>
    </row>
    <row r="41" customFormat="false" ht="15" hidden="false" customHeight="false" outlineLevel="0" collapsed="false">
      <c r="A41" s="8" t="s">
        <v>512</v>
      </c>
      <c r="B41" s="8" t="s">
        <v>510</v>
      </c>
      <c r="C41" s="6"/>
      <c r="D41" s="6"/>
    </row>
    <row r="42" customFormat="false" ht="15" hidden="false" customHeight="false" outlineLevel="0" collapsed="false">
      <c r="A42" s="6" t="s">
        <v>19</v>
      </c>
      <c r="B42" s="6" t="n">
        <f aca="false">COUNTIF('Format NVM Test Scenarios'!I:I,"Boundary Value Analysis")</f>
        <v>10</v>
      </c>
      <c r="C42" s="6"/>
      <c r="D42" s="6"/>
    </row>
    <row r="43" customFormat="false" ht="15" hidden="false" customHeight="false" outlineLevel="0" collapsed="false">
      <c r="A43" s="6" t="s">
        <v>53</v>
      </c>
      <c r="B43" s="6" t="n">
        <f aca="false">COUNTIF('Format NVM Test Scenarios'!I:I,"Equivalence Partitioning")</f>
        <v>21</v>
      </c>
      <c r="C43" s="6"/>
      <c r="D43" s="6"/>
    </row>
    <row r="44" customFormat="false" ht="15" hidden="false" customHeight="false" outlineLevel="0" collapsed="false">
      <c r="A44" s="6" t="s">
        <v>45</v>
      </c>
      <c r="B44" s="6" t="n">
        <f aca="false">COUNTIF('Format NVM Test Scenarios'!I:I,"Error Guessing")</f>
        <v>11</v>
      </c>
      <c r="C44" s="6"/>
      <c r="D44" s="6"/>
    </row>
    <row r="45" customFormat="false" ht="15" hidden="false" customHeight="false" outlineLevel="0" collapsed="false">
      <c r="A45" s="6" t="s">
        <v>63</v>
      </c>
      <c r="B45" s="6" t="n">
        <f aca="false">COUNTIF('Format NVM Test Scenarios'!I:I,"Exploratory")</f>
        <v>20</v>
      </c>
      <c r="C45" s="6"/>
      <c r="D45" s="6"/>
    </row>
    <row r="46" customFormat="false" ht="15" hidden="false" customHeight="false" outlineLevel="0" collapsed="false">
      <c r="A46" s="6"/>
      <c r="B46" s="6"/>
      <c r="C46" s="6"/>
      <c r="D46" s="6"/>
    </row>
    <row r="47" customFormat="false" ht="15" hidden="false" customHeight="false" outlineLevel="0" collapsed="false">
      <c r="A47" s="6"/>
      <c r="B47" s="6"/>
      <c r="C47" s="6"/>
      <c r="D47" s="6"/>
    </row>
    <row r="48" customFormat="false" ht="15" hidden="false" customHeight="false" outlineLevel="0" collapsed="false">
      <c r="A48" s="7" t="s">
        <v>513</v>
      </c>
      <c r="B48" s="6"/>
      <c r="C48" s="6"/>
      <c r="D48" s="6"/>
    </row>
    <row r="49" customFormat="false" ht="15" hidden="false" customHeight="false" outlineLevel="0" collapsed="false">
      <c r="A49" s="8" t="s">
        <v>514</v>
      </c>
      <c r="B49" s="8" t="s">
        <v>515</v>
      </c>
      <c r="C49" s="6"/>
      <c r="D49" s="6"/>
    </row>
    <row r="50" customFormat="false" ht="34.5" hidden="false" customHeight="true" outlineLevel="0" collapsed="false">
      <c r="A50" s="10" t="s">
        <v>516</v>
      </c>
      <c r="B50" s="10" t="s">
        <v>517</v>
      </c>
      <c r="C50" s="6"/>
      <c r="D50" s="6"/>
    </row>
    <row r="51" customFormat="false" ht="34.5" hidden="false" customHeight="true" outlineLevel="0" collapsed="false">
      <c r="A51" s="10" t="s">
        <v>518</v>
      </c>
      <c r="B51" s="10" t="s">
        <v>519</v>
      </c>
      <c r="C51" s="6"/>
      <c r="D51" s="6"/>
    </row>
    <row r="52" customFormat="false" ht="34.5" hidden="false" customHeight="true" outlineLevel="0" collapsed="false">
      <c r="A52" s="10" t="s">
        <v>520</v>
      </c>
      <c r="B52" s="10" t="s">
        <v>521</v>
      </c>
      <c r="C52" s="6"/>
      <c r="D52" s="6"/>
    </row>
    <row r="53" customFormat="false" ht="34.5" hidden="false" customHeight="true" outlineLevel="0" collapsed="false">
      <c r="A53" s="10" t="s">
        <v>522</v>
      </c>
      <c r="B53" s="10" t="s">
        <v>523</v>
      </c>
      <c r="C53" s="6"/>
      <c r="D53" s="6"/>
    </row>
    <row r="54" customFormat="false" ht="34.5" hidden="false" customHeight="true" outlineLevel="0" collapsed="false">
      <c r="A54" s="10" t="s">
        <v>524</v>
      </c>
      <c r="B54" s="10" t="s">
        <v>525</v>
      </c>
      <c r="C54" s="6"/>
      <c r="D54" s="6"/>
    </row>
    <row r="55" customFormat="false" ht="34.5" hidden="false" customHeight="true" outlineLevel="0" collapsed="false">
      <c r="A55" s="10" t="s">
        <v>526</v>
      </c>
      <c r="B55" s="10" t="s">
        <v>527</v>
      </c>
      <c r="C55" s="6"/>
      <c r="D55" s="6"/>
    </row>
    <row r="56" customFormat="false" ht="34.5" hidden="false" customHeight="true" outlineLevel="0" collapsed="false">
      <c r="A56" s="10" t="s">
        <v>528</v>
      </c>
      <c r="B56" s="10" t="s">
        <v>529</v>
      </c>
      <c r="C56" s="6"/>
      <c r="D56" s="6"/>
    </row>
    <row r="57" customFormat="false" ht="34.5" hidden="false" customHeight="true" outlineLevel="0" collapsed="false">
      <c r="A57" s="10" t="s">
        <v>530</v>
      </c>
      <c r="B57" s="10" t="s">
        <v>531</v>
      </c>
      <c r="C57" s="6"/>
      <c r="D57" s="6"/>
    </row>
    <row r="58" customFormat="false" ht="34.5" hidden="false" customHeight="true" outlineLevel="0" collapsed="false">
      <c r="A58" s="10" t="s">
        <v>532</v>
      </c>
      <c r="B58" s="10" t="s">
        <v>200</v>
      </c>
      <c r="C58" s="6"/>
      <c r="D58" s="6"/>
    </row>
    <row r="59" customFormat="false" ht="34.5" hidden="false" customHeight="true" outlineLevel="0" collapsed="false">
      <c r="A59" s="10" t="s">
        <v>533</v>
      </c>
      <c r="B59" s="10" t="s">
        <v>534</v>
      </c>
      <c r="C59" s="6"/>
      <c r="D59" s="6"/>
    </row>
    <row r="60" customFormat="false" ht="34.5" hidden="false" customHeight="true" outlineLevel="0" collapsed="false">
      <c r="A60" s="10" t="s">
        <v>535</v>
      </c>
      <c r="B60" s="10" t="s">
        <v>536</v>
      </c>
      <c r="C60" s="6"/>
      <c r="D60" s="6"/>
    </row>
    <row r="61" customFormat="false" ht="34.5" hidden="false" customHeight="true" outlineLevel="0" collapsed="false">
      <c r="A61" s="10" t="s">
        <v>537</v>
      </c>
      <c r="B61" s="10" t="s">
        <v>279</v>
      </c>
      <c r="C61" s="6"/>
      <c r="D61" s="6"/>
    </row>
    <row r="62" customFormat="false" ht="34.5" hidden="false" customHeight="true" outlineLevel="0" collapsed="false">
      <c r="A62" s="10" t="s">
        <v>538</v>
      </c>
      <c r="B62" s="10" t="s">
        <v>271</v>
      </c>
      <c r="C62" s="6"/>
      <c r="D62" s="6"/>
    </row>
    <row r="63" customFormat="false" ht="34.5" hidden="false" customHeight="true" outlineLevel="0" collapsed="false">
      <c r="A63" s="10" t="s">
        <v>539</v>
      </c>
      <c r="B63" s="10" t="s">
        <v>540</v>
      </c>
      <c r="C63" s="6"/>
      <c r="D63" s="6"/>
    </row>
    <row r="64" customFormat="false" ht="34.5" hidden="false" customHeight="true" outlineLevel="0" collapsed="false">
      <c r="A64" s="10" t="s">
        <v>541</v>
      </c>
      <c r="B64" s="10" t="s">
        <v>303</v>
      </c>
      <c r="C64" s="6"/>
      <c r="D64" s="6"/>
    </row>
    <row r="65" customFormat="false" ht="34.5" hidden="false" customHeight="true" outlineLevel="0" collapsed="false">
      <c r="A65" s="10" t="s">
        <v>542</v>
      </c>
      <c r="B65" s="10" t="s">
        <v>543</v>
      </c>
      <c r="C65" s="6"/>
      <c r="D65" s="6"/>
    </row>
    <row r="66" customFormat="false" ht="34.5" hidden="false" customHeight="true" outlineLevel="0" collapsed="false">
      <c r="A66" s="10" t="s">
        <v>544</v>
      </c>
      <c r="B66" s="10" t="s">
        <v>545</v>
      </c>
      <c r="C66" s="6"/>
      <c r="D66" s="6"/>
    </row>
    <row r="67" customFormat="false" ht="34.5" hidden="false" customHeight="true" outlineLevel="0" collapsed="false">
      <c r="A67" s="10" t="s">
        <v>546</v>
      </c>
      <c r="B67" s="10" t="s">
        <v>547</v>
      </c>
      <c r="C67" s="6"/>
      <c r="D67" s="6"/>
    </row>
    <row r="68" customFormat="false" ht="34.5" hidden="false" customHeight="true" outlineLevel="0" collapsed="false">
      <c r="A68" s="10" t="s">
        <v>345</v>
      </c>
      <c r="B68" s="10" t="s">
        <v>340</v>
      </c>
      <c r="C68" s="6"/>
      <c r="D68" s="6"/>
    </row>
    <row r="69" customFormat="false" ht="34.5" hidden="false" customHeight="true" outlineLevel="0" collapsed="false">
      <c r="A69" s="10" t="s">
        <v>548</v>
      </c>
      <c r="B69" s="10" t="s">
        <v>549</v>
      </c>
      <c r="C69" s="6"/>
      <c r="D69" s="6"/>
    </row>
    <row r="70" customFormat="false" ht="34.5" hidden="false" customHeight="true" outlineLevel="0" collapsed="false">
      <c r="A70" s="10" t="s">
        <v>550</v>
      </c>
      <c r="B70" s="10" t="s">
        <v>551</v>
      </c>
      <c r="C70" s="6"/>
      <c r="D70" s="6"/>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2026-05-03T15:21:38Z</dcterms:created>
  <dc:creator>openpyxl</dc:creator>
  <dc:description/>
  <dc:language>en-US</dc:language>
  <cp:lastModifiedBy/>
  <dcterms:modified xsi:type="dcterms:W3CDTF">2026-05-03T15:21:38Z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