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0d6242d661481b" /></Relationships>
</file>

<file path=xl/workbook.xml><?xml version="1.0" encoding="utf-8"?>
<x:workbook xmlns:x="http://schemas.openxmlformats.org/spreadsheetml/2006/main">
  <x:sheets>
    <x:sheet xmlns:r="http://schemas.openxmlformats.org/officeDocument/2006/relationships" name="Test Scenarios" sheetId="1" r:id="Rb98ec8ebe5904319"/>
    <x:sheet xmlns:r="http://schemas.openxmlformats.org/officeDocument/2006/relationships" name="Coverage Matrix" sheetId="2" r:id="R399d1ac61cf34e79"/>
    <x:sheet xmlns:r="http://schemas.openxmlformats.org/officeDocument/2006/relationships" name="Field Reference" sheetId="3" r:id="R84b9d70916034f2d"/>
    <x:sheet xmlns:r="http://schemas.openxmlformats.org/officeDocument/2006/relationships" name="Summary" sheetId="4" r:id="R62eb1f537e2f41e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name val="Carlito"/>
    </x:font>
    <x:font>
      <x:b/>
      <x:sz val="11"/>
      <x:color rgb="FFFFFF"/>
      <x:name val="Carlito"/>
    </x:font>
    <x:font>
      <x:b/>
      <x:sz val="16"/>
      <x:color rgb="FFFFFF"/>
      <x:name val="Carlito"/>
    </x:font>
    <x:font>
      <x:sz val="11"/>
      <x:color rgb="FFFFFF"/>
      <x:name val="Carlito"/>
    </x:font>
  </x:fonts>
  <x:fills count="4">
    <x:fill>
      <x:patternFill patternType="none"/>
    </x:fill>
    <x:fill>
      <x:patternFill patternType="gray125"/>
    </x:fill>
    <x:fill>
      <x:patternFill patternType="solid">
        <x:fgColor rgb="1F4E78"/>
      </x:patternFill>
    </x:fill>
    <x:fill>
      <x:patternFill patternType="solid">
        <x:fgColor rgb="5B9BD5"/>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4" fillId="3" borderId="0" xfId="0" applyNumberFormat="1" applyFont="1" applyFill="1" applyBorder="1" applyAlignment="1">
      <x:alignment vertical="top" wrapText="1"/>
    </x:xf>
  </x:cellXfs>
  <x:cellStyles count="1">
    <x:cellStyle name="Normal" xfId="0"/>
  </x:cellStyles>
  <x:dxfs count="7">
    <x:dxf>
      <x:fill>
        <x:patternFill patternType="solid">
          <x:bgColor rgb="FCE4D6"/>
        </x:patternFill>
      </x:fill>
    </x:dxf>
    <x:dxf>
      <x:fill>
        <x:patternFill patternType="solid">
          <x:bgColor rgb="E2F0D9"/>
        </x:patternFill>
      </x:fill>
    </x:dxf>
    <x:dxf>
      <x:fill>
        <x:patternFill patternType="solid">
          <x:bgColor rgb="FFF2CC"/>
        </x:patternFill>
      </x:fill>
    </x:dxf>
    <x:dxf>
      <x:fill>
        <x:patternFill patternType="solid">
          <x:bgColor rgb="DDEBF7"/>
        </x:patternFill>
      </x:fill>
    </x:dxf>
    <x:dxf>
      <x:fill>
        <x:patternFill patternType="solid">
          <x:bgColor rgb="FFC7CE"/>
        </x:patternFill>
      </x:fill>
    </x:dxf>
    <x:dxf>
      <x:fill>
        <x:patternFill patternType="solid">
          <x:bgColor rgb="FFEB9C"/>
        </x:patternFill>
      </x:fill>
    </x:dxf>
    <x:dxf>
      <x:fill>
        <x:patternFill patternType="solid">
          <x:bgColor rgb="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d42d2ebfa04e89" /><Relationship Type="http://schemas.openxmlformats.org/officeDocument/2006/relationships/theme" Target="/xl/theme/theme1.xml" Id="Rafe5c8eb134a4187" /><Relationship Type="http://schemas.openxmlformats.org/officeDocument/2006/relationships/sharedStrings" Target="/xl/sharedStrings.xml" Id="Rc1930202d6dd4679" /><Relationship Type="http://schemas.openxmlformats.org/officeDocument/2006/relationships/worksheet" Target="/xl/worksheets/sheet1.xml" Id="Rb98ec8ebe5904319" /><Relationship Type="http://schemas.openxmlformats.org/officeDocument/2006/relationships/worksheet" Target="/xl/worksheets/sheet2.xml" Id="R399d1ac61cf34e79" /><Relationship Type="http://schemas.openxmlformats.org/officeDocument/2006/relationships/worksheet" Target="/xl/worksheets/sheet3.xml" Id="R84b9d70916034f2d" /><Relationship Type="http://schemas.openxmlformats.org/officeDocument/2006/relationships/worksheet" Target="/xl/worksheets/sheet4.xml" Id="R62eb1f537e2f41e3" /></Relationships>
</file>

<file path=xl/tables/table1.xml><?xml version="1.0" encoding="utf-8"?>
<x:table xmlns:x="http://schemas.openxmlformats.org/spreadsheetml/2006/main" id="1" name="FormatNVMScenarios" displayName="FormatNVMScenarios" ref="A1:K57" headerRowCount="1">
  <x:tableColumns count="11">
    <x:tableColumn id="1" name="Name"/>
    <x:tableColumn id="2" name="Label"/>
    <x:tableColumn id="3" name="Description"/>
    <x:tableColumn id="4" name="Preconditions"/>
    <x:tableColumn id="5" name="Steps"/>
    <x:tableColumn id="6" name="Expected Result"/>
    <x:tableColumn id="7" name="Test Category"/>
    <x:tableColumn id="8" name="Functional Area"/>
    <x:tableColumn id="9" name="Technique"/>
    <x:tableColumn id="10" name="Priority"/>
    <x:tableColumn id="11" name="Spec Requirement / Trace"/>
  </x:tableColumns>
  <x:tableStyleInfo name="TableStyleMedium2" showRowStripes="1"/>
</x:table>
</file>

<file path=xl/tables/table2.xml><?xml version="1.0" encoding="utf-8"?>
<x:table xmlns:x="http://schemas.openxmlformats.org/spreadsheetml/2006/main" id="2" name="CoverageMatrix" displayName="CoverageMatrix" ref="A1:E15" headerRowCount="1">
  <x:tableColumns count="5">
    <x:tableColumn id="1" name="Requirement ID"/>
    <x:tableColumn id="2" name="Requirement / Coverage Item"/>
    <x:tableColumn id="3" name="Primary Spec Basis"/>
    <x:tableColumn id="4" name="Covered By Scenario Labels"/>
    <x:tableColumn id="5" name="Coverage Status"/>
  </x:tableColumns>
  <x:tableStyleInfo name="TableStyleMedium2" showRowStripes="1"/>
</x:table>
</file>

<file path=xl/tables/table3.xml><?xml version="1.0" encoding="utf-8"?>
<x:table xmlns:x="http://schemas.openxmlformats.org/spreadsheetml/2006/main" id="3" name="FieldReference" displayName="FieldReference" ref="A1:D13" headerRowCount="1">
  <x:tableColumns count="4">
    <x:tableColumn id="1" name="Field/Concept"/>
    <x:tableColumn id="2" name="Defined Values / Behavior"/>
    <x:tableColumn id="3" name="Test Impact"/>
    <x:tableColumn id="4" name="Spec Loc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86c5734ca44770" /></Relationships>
</file>

<file path=xl/worksheets/_rels/sheet2.xml.rels>&#65279;<?xml version="1.0" encoding="utf-8"?><Relationships xmlns="http://schemas.openxmlformats.org/package/2006/relationships"><Relationship Type="http://schemas.openxmlformats.org/officeDocument/2006/relationships/table" Target="/xl/tables/table2.xml" Id="Ref20cfa8af084334" /></Relationships>
</file>

<file path=xl/worksheets/_rels/sheet3.xml.rels>&#65279;<?xml version="1.0" encoding="utf-8"?><Relationships xmlns="http://schemas.openxmlformats.org/package/2006/relationships"><Relationship Type="http://schemas.openxmlformats.org/officeDocument/2006/relationships/table" Target="/xl/tables/table3.xml" Id="R0627171fb2b54f0d" /></Relationships>
</file>

<file path=xl/worksheets/sheet1.xml><?xml version="1.0" encoding="utf-8"?>
<x:worksheet xmlns:x="http://schemas.openxmlformats.org/spreadsheetml/2006/main">
  <x:sheetFormatPr defaultRowHeight="15"/>
  <x:cols>
    <x:col min="1" max="1" width="32" hidden="0" customWidth="1"/>
    <x:col min="2" max="2" width="16" hidden="0" customWidth="1"/>
    <x:col min="3" max="3" width="45" hidden="0" customWidth="1"/>
    <x:col min="4" max="4" width="44" hidden="0" customWidth="1"/>
    <x:col min="5" max="5" width="56" hidden="0" customWidth="1"/>
    <x:col min="6" max="6" width="48" hidden="0" customWidth="1"/>
    <x:col min="7" max="7" width="15" hidden="0" customWidth="1"/>
    <x:col min="8" max="8" width="28" hidden="0" customWidth="1"/>
    <x:col min="9" max="9" width="24" hidden="0" customWidth="1"/>
    <x:col min="10" max="10" width="10" hidden="0" customWidth="1"/>
    <x:col min="11" max="11" width="28" hidden="0" customWidth="1"/>
  </x:cols>
  <x:sheetData>
    <x:row r="1" ht="32" customHeight="1">
      <x:c r="A1" s="22" t="str">
        <x:v>Name</x:v>
      </x:c>
      <x:c r="B1" s="22" t="str">
        <x:v>Label</x:v>
      </x:c>
      <x:c r="C1" s="22" t="str">
        <x:v>Description</x:v>
      </x:c>
      <x:c r="D1" s="22" t="str">
        <x:v>Preconditions</x:v>
      </x:c>
      <x:c r="E1" s="22" t="str">
        <x:v>Steps</x:v>
      </x:c>
      <x:c r="F1" s="22" t="str">
        <x:v>Expected Result</x:v>
      </x:c>
      <x:c r="G1" s="22" t="str">
        <x:v>Test Category</x:v>
      </x:c>
      <x:c r="H1" s="22" t="str">
        <x:v>Functional Area</x:v>
      </x:c>
      <x:c r="I1" s="22" t="str">
        <x:v>Technique</x:v>
      </x:c>
      <x:c r="J1" s="22" t="str">
        <x:v>Priority</x:v>
      </x:c>
      <x:c r="K1" s="22" t="str">
        <x:v>Spec Requirement / Trace</x:v>
      </x:c>
    </x:row>
    <x:row r="2">
      <x:c r="A2" s="23" t="str">
        <x:v>Format using current LBA format without PI</x:v>
      </x:c>
      <x:c r="B2" s="23" t="str">
        <x:v>FMT-POS-001</x:v>
      </x:c>
      <x:c r="C2" s="23" t="str">
        <x:v>Issue Format NVM using the namespace's currently active valid Format Index with PI=000b, MSET=0, PIL=0.</x:v>
      </x:c>
      <x:c r="D2" s="23" t="str">
        <x:v>Namespace is active, writable, associated with NVM Command Set; no outstanding I/O; identify data captured before test.</x:v>
      </x:c>
      <x:c r="E2" s="23" t="str">
        <x:v>1. Identify namespace and record current Format Index, LBA data size, metadata size, NSZE, NCAP, NUSE. 2. Submit Format NVM with current Format Index, PI=000b, MSET=0, PIL=0. 3. Re-identify namespace. 4. Run a small write/read on LBA 0 and last valid LBA using the same logical block size.</x:v>
      </x:c>
      <x:c r="F2" s="23" t="str">
        <x:v>Command completes successfully. Identify data reports the selected format. Namespace accepts I/O using the selected logical block size; no protection information is enabled.</x:v>
      </x:c>
      <x:c r="G2" s="23" t="str">
        <x:v>Positive</x:v>
      </x:c>
      <x:c r="H2" s="23" t="str">
        <x:v>Basic command success</x:v>
      </x:c>
      <x:c r="I2" s="23" t="str">
        <x:v>Equivalence partitioning</x:v>
      </x:c>
      <x:c r="J2" s="23" t="str">
        <x:v>P0</x:v>
      </x:c>
      <x:c r="K2" s="23" t="str">
        <x:v>R1,R2,R6,R8</x:v>
      </x:c>
    </x:row>
    <x:row r="3">
      <x:c r="A3" s="23" t="str">
        <x:v>Format to lowest supported Format Index</x:v>
      </x:c>
      <x:c r="B3" s="23" t="str">
        <x:v>FMT-BVA-002</x:v>
      </x:c>
      <x:c r="C3" s="23" t="str">
        <x:v>Validate lower boundary for Format Index by formatting to Format Index 0h when supported.</x:v>
      </x:c>
      <x:c r="D3" s="23" t="str">
        <x:v>Controller reports Format Index 0h as valid for the namespace; test data backed up if required.</x:v>
      </x:c>
      <x:c r="E3" s="23" t="str">
        <x:v>1. Identify namespace LBA Format list. 2. Submit Format NVM with Format Index=0h. 3. Re-identify namespace. 4. Verify FLBAS/format fields reflect index 0h and I/O succeeds.</x:v>
      </x:c>
      <x:c r="F3" s="23" t="str">
        <x:v>Format completes successfully and selected LBA format is index 0h.</x:v>
      </x:c>
      <x:c r="G3" s="23" t="str">
        <x:v>Corner</x:v>
      </x:c>
      <x:c r="H3" s="23" t="str">
        <x:v>Format Index boundaries</x:v>
      </x:c>
      <x:c r="I3" s="23" t="str">
        <x:v>Boundary value analysis</x:v>
      </x:c>
      <x:c r="J3" s="23" t="str">
        <x:v>P0</x:v>
      </x:c>
      <x:c r="K3" s="23" t="str">
        <x:v>R2</x:v>
      </x:c>
    </x:row>
    <x:row r="4">
      <x:c r="A4" s="23" t="str">
        <x:v>Format to highest supported Format Index</x:v>
      </x:c>
      <x:c r="B4" s="23" t="str">
        <x:v>FMT-BVA-003</x:v>
      </x:c>
      <x:c r="C4" s="23" t="str">
        <x:v>Validate upper valid boundary for Format Index by formatting to the highest supported Format Index advertised by Identify.</x:v>
      </x:c>
      <x:c r="D4" s="23" t="str">
        <x:v>Namespace active and writable; highest advertised Format Index is known.</x:v>
      </x:c>
      <x:c r="E4" s="23" t="str">
        <x:v>1. Identify supported LBA Format entries. 2. Select highest valid Format Index. 3. Submit Format NVM. 4. Re-identify and run write/read smoke test.</x:v>
      </x:c>
      <x:c r="F4" s="23" t="str">
        <x:v>Format completes successfully and namespace reports highest selected Format Index.</x:v>
      </x:c>
      <x:c r="G4" s="23" t="str">
        <x:v>Corner</x:v>
      </x:c>
      <x:c r="H4" s="23" t="str">
        <x:v>Format Index boundaries</x:v>
      </x:c>
      <x:c r="I4" s="23" t="str">
        <x:v>Boundary value analysis</x:v>
      </x:c>
      <x:c r="J4" s="23" t="str">
        <x:v>P0</x:v>
      </x:c>
      <x:c r="K4" s="23" t="str">
        <x:v>R2</x:v>
      </x:c>
    </x:row>
    <x:row r="5">
      <x:c r="A5" s="23" t="str">
        <x:v>Format changing logical block size</x:v>
      </x:c>
      <x:c r="B5" s="23" t="str">
        <x:v>FMT-POS-004</x:v>
      </x:c>
      <x:c r="C5" s="23" t="str">
        <x:v>Format to a valid LBA format with a different logical block data size and verify namespace size/capacity handling.</x:v>
      </x:c>
      <x:c r="D5" s="23" t="str">
        <x:v>At least two valid LBA formats with different logical block data sizes are supported.</x:v>
      </x:c>
      <x:c r="E5" s="23" t="str">
        <x:v>1. Record NSZE/NCAP and logical block data size before format. 2. Format to alternate valid Format Index with different logical block size. 3. Re-identify NSZE/NCAP and format fields. 4. Run I/O using new block size.</x:v>
      </x:c>
      <x:c r="F5" s="23" t="str">
        <x:v>Command succeeds. NSZE and NCAP may differ from pre-format values if logical block size changed. I/O using the new format succeeds.</x:v>
      </x:c>
      <x:c r="G5" s="23" t="str">
        <x:v>Positive</x:v>
      </x:c>
      <x:c r="H5" s="23" t="str">
        <x:v>Logical block size transition</x:v>
      </x:c>
      <x:c r="I5" s="23" t="str">
        <x:v>Equivalence partitioning</x:v>
      </x:c>
      <x:c r="J5" s="23" t="str">
        <x:v>P0</x:v>
      </x:c>
      <x:c r="K5" s="23" t="str">
        <x:v>R3</x:v>
      </x:c>
    </x:row>
    <x:row r="6">
      <x:c r="A6" s="23" t="str">
        <x:v>Format metadata size zero with MSET=0</x:v>
      </x:c>
      <x:c r="B6" s="23" t="str">
        <x:v>FMT-POS-005</x:v>
      </x:c>
      <x:c r="C6" s="23" t="str">
        <x:v>Verify metadata settings when selected LBA format has Metadata Size=0 and MSET=0.</x:v>
      </x:c>
      <x:c r="D6" s="23" t="str">
        <x:v>Selected valid LBA format has Metadata Size=0.</x:v>
      </x:c>
      <x:c r="E6" s="23" t="str">
        <x:v>1. Select LBA format with Metadata Size=0. 2. Submit Format NVM with MSET=0 and PI=000b. 3. Re-identify. 4. Run read/write without metadata buffer.</x:v>
      </x:c>
      <x:c r="F6" s="23" t="str">
        <x:v>Format succeeds. Metadata is not required; MSET has no observable effect for Metadata Size=0.</x:v>
      </x:c>
      <x:c r="G6" s="23" t="str">
        <x:v>Positive</x:v>
      </x:c>
      <x:c r="H6" s="23" t="str">
        <x:v>Metadata settings</x:v>
      </x:c>
      <x:c r="I6" s="23" t="str">
        <x:v>Equivalence partitioning</x:v>
      </x:c>
      <x:c r="J6" s="23" t="str">
        <x:v>P1</x:v>
      </x:c>
      <x:c r="K6" s="23" t="str">
        <x:v>R7</x:v>
      </x:c>
    </x:row>
    <x:row r="7">
      <x:c r="A7" s="23" t="str">
        <x:v>Format metadata size zero with MSET=1 ignored</x:v>
      </x:c>
      <x:c r="B7" s="23" t="str">
        <x:v>FMT-COR-006</x:v>
      </x:c>
      <x:c r="C7" s="23" t="str">
        <x:v>Verify that MSET is ignored when Metadata Size for the selected LBA Format is 0h.</x:v>
      </x:c>
      <x:c r="D7" s="23" t="str">
        <x:v>Selected valid LBA format has Metadata Size=0.</x:v>
      </x:c>
      <x:c r="E7" s="23" t="str">
        <x:v>1. Submit Format NVM with MSET=1, PI=000b. 2. Re-identify namespace. 3. Run write/read without extended metadata.</x:v>
      </x:c>
      <x:c r="F7" s="23" t="str">
        <x:v>Command completes successfully. Controller ignores MSET because selected LBA Format has Metadata Size=0h.</x:v>
      </x:c>
      <x:c r="G7" s="23" t="str">
        <x:v>Corner</x:v>
      </x:c>
      <x:c r="H7" s="23" t="str">
        <x:v>Metadata settings</x:v>
      </x:c>
      <x:c r="I7" s="23" t="str">
        <x:v>Boundary value analysis</x:v>
      </x:c>
      <x:c r="J7" s="23" t="str">
        <x:v>P1</x:v>
      </x:c>
      <x:c r="K7" s="23" t="str">
        <x:v>R7</x:v>
      </x:c>
    </x:row>
    <x:row r="8">
      <x:c r="A8" s="23" t="str">
        <x:v>Format with separate metadata buffer</x:v>
      </x:c>
      <x:c r="B8" s="23" t="str">
        <x:v>FMT-POS-007</x:v>
      </x:c>
      <x:c r="C8" s="23" t="str">
        <x:v>Format to an LBA format with metadata using MSET=0, so metadata is transferred as a separate buffer.</x:v>
      </x:c>
      <x:c r="D8" s="23" t="str">
        <x:v>Selected LBA format has Metadata Size &gt; 0 and controller/driver test stack supports metadata buffer I/O.</x:v>
      </x:c>
      <x:c r="E8" s="23" t="str">
        <x:v>1. Select valid metadata-capable LBA format. 2. Submit Format NVM with MSET=0. 3. Re-identify DPS/FLBAS metadata setting. 4. Perform Write/Read using separate metadata buffer.</x:v>
      </x:c>
      <x:c r="F8" s="23" t="str">
        <x:v>Format succeeds. Identify reflects metadata transferred as separate buffer; I/O with separate metadata buffer succeeds.</x:v>
      </x:c>
      <x:c r="G8" s="23" t="str">
        <x:v>Positive</x:v>
      </x:c>
      <x:c r="H8" s="23" t="str">
        <x:v>Metadata settings</x:v>
      </x:c>
      <x:c r="I8" s="23" t="str">
        <x:v>Equivalence partitioning</x:v>
      </x:c>
      <x:c r="J8" s="23" t="str">
        <x:v>P0</x:v>
      </x:c>
      <x:c r="K8" s="23" t="str">
        <x:v>R7</x:v>
      </x:c>
    </x:row>
    <x:row r="9">
      <x:c r="A9" s="23" t="str">
        <x:v>Format with extended data LBA metadata</x:v>
      </x:c>
      <x:c r="B9" s="23" t="str">
        <x:v>FMT-POS-008</x:v>
      </x:c>
      <x:c r="C9" s="23" t="str">
        <x:v>Format to an LBA format with metadata using MSET=1, so metadata is transferred as part of an extended LBA.</x:v>
      </x:c>
      <x:c r="D9" s="23" t="str">
        <x:v>Selected LBA format has Metadata Size &gt; 0; host stack supports extended LBA transfer.</x:v>
      </x:c>
      <x:c r="E9" s="23" t="str">
        <x:v>1. Select valid metadata-capable LBA format. 2. Submit Format NVM with MSET=1. 3. Re-identify. 4. Perform extended-LBA write/read.</x:v>
      </x:c>
      <x:c r="F9" s="23" t="str">
        <x:v>Format succeeds. Metadata is transferred as part of extended data LBA and I/O succeeds using extended block size.</x:v>
      </x:c>
      <x:c r="G9" s="23" t="str">
        <x:v>Positive</x:v>
      </x:c>
      <x:c r="H9" s="23" t="str">
        <x:v>Metadata settings</x:v>
      </x:c>
      <x:c r="I9" s="23" t="str">
        <x:v>Equivalence partitioning</x:v>
      </x:c>
      <x:c r="J9" s="23" t="str">
        <x:v>P0</x:v>
      </x:c>
      <x:c r="K9" s="23" t="str">
        <x:v>R7</x:v>
      </x:c>
    </x:row>
    <x:row r="10">
      <x:c r="A10" s="23" t="str">
        <x:v>Format with PI disabled</x:v>
      </x:c>
      <x:c r="B10" s="23" t="str">
        <x:v>FMT-POS-009</x:v>
      </x:c>
      <x:c r="C10" s="23" t="str">
        <x:v>Verify PI field value 000b disables end-to-end data protection.</x:v>
      </x:c>
      <x:c r="D10" s="23" t="str">
        <x:v>Selected LBA format is valid; namespace active.</x:v>
      </x:c>
      <x:c r="E10" s="23" t="str">
        <x:v>1. Submit Format NVM with PI=000b. 2. Re-identify DPS. 3. Issue read/write with protection fields not supplied.</x:v>
      </x:c>
      <x:c r="F10" s="23" t="str">
        <x:v>Format succeeds and Identify shows protection information not enabled; controller ignores PI-specific fields during normal I/O.</x:v>
      </x:c>
      <x:c r="G10" s="23" t="str">
        <x:v>Positive</x:v>
      </x:c>
      <x:c r="H10" s="23" t="str">
        <x:v>Protection Information enablement</x:v>
      </x:c>
      <x:c r="I10" s="23" t="str">
        <x:v>Equivalence partitioning</x:v>
      </x:c>
      <x:c r="J10" s="23" t="str">
        <x:v>P0</x:v>
      </x:c>
      <x:c r="K10" s="23" t="str">
        <x:v>R5</x:v>
      </x:c>
    </x:row>
    <x:row r="11">
      <x:c r="A11" s="23" t="str">
        <x:v>Format with Type 1 PI supported</x:v>
      </x:c>
      <x:c r="B11" s="23" t="str">
        <x:v>FMT-POS-010</x:v>
      </x:c>
      <x:c r="C11" s="23" t="str">
        <x:v>Enable Type 1 protection information where DPC advertises support.</x:v>
      </x:c>
      <x:c r="D11" s="23" t="str">
        <x:v>DPC indicates Type 1 PI supported; selected LBA format has suitable metadata size for PI.</x:v>
      </x:c>
      <x:c r="E11" s="23" t="str">
        <x:v>1. Select compatible LBA format. 2. Submit Format NVM with PI=001b, PIL=0. 3. Re-identify DPS. 4. Run write/read/verify with valid guard/application/reference tags.</x:v>
      </x:c>
      <x:c r="F11" s="23" t="str">
        <x:v>Format succeeds. DPS reports Type 1 PI with PI located as specified. I/O with valid Type 1 PI succeeds.</x:v>
      </x:c>
      <x:c r="G11" s="23" t="str">
        <x:v>Positive</x:v>
      </x:c>
      <x:c r="H11" s="23" t="str">
        <x:v>Protection Information enablement</x:v>
      </x:c>
      <x:c r="I11" s="23" t="str">
        <x:v>Equivalence partitioning</x:v>
      </x:c>
      <x:c r="J11" s="23" t="str">
        <x:v>P0</x:v>
      </x:c>
      <x:c r="K11" s="23" t="str">
        <x:v>R4,R5,R6</x:v>
      </x:c>
    </x:row>
    <x:row r="12">
      <x:c r="A12" s="23" t="str">
        <x:v>Format with Type 2 PI supported</x:v>
      </x:c>
      <x:c r="B12" s="23" t="str">
        <x:v>FMT-POS-011</x:v>
      </x:c>
      <x:c r="C12" s="23" t="str">
        <x:v>Enable Type 2 protection information where DPC advertises support.</x:v>
      </x:c>
      <x:c r="D12" s="23" t="str">
        <x:v>DPC indicates Type 2 PI supported; selected LBA format has suitable metadata size.</x:v>
      </x:c>
      <x:c r="E12" s="23" t="str">
        <x:v>1. Submit Format NVM with PI=010b, PIL=0. 2. Re-identify DPS. 3. Run PI-enabled I/O with valid Type 2 tags.</x:v>
      </x:c>
      <x:c r="F12" s="23" t="str">
        <x:v>Format succeeds and Type 2 PI operation is usable.</x:v>
      </x:c>
      <x:c r="G12" s="23" t="str">
        <x:v>Positive</x:v>
      </x:c>
      <x:c r="H12" s="23" t="str">
        <x:v>Protection Information enablement</x:v>
      </x:c>
      <x:c r="I12" s="23" t="str">
        <x:v>Equivalence partitioning</x:v>
      </x:c>
      <x:c r="J12" s="23" t="str">
        <x:v>P1</x:v>
      </x:c>
      <x:c r="K12" s="23" t="str">
        <x:v>R4,R5,R6</x:v>
      </x:c>
    </x:row>
    <x:row r="13">
      <x:c r="A13" s="23" t="str">
        <x:v>Format with Type 3 PI supported</x:v>
      </x:c>
      <x:c r="B13" s="23" t="str">
        <x:v>FMT-POS-012</x:v>
      </x:c>
      <x:c r="C13" s="23" t="str">
        <x:v>Enable Type 3 protection information where DPC advertises support.</x:v>
      </x:c>
      <x:c r="D13" s="23" t="str">
        <x:v>DPC indicates Type 3 PI supported; selected LBA format has suitable metadata size.</x:v>
      </x:c>
      <x:c r="E13" s="23" t="str">
        <x:v>1. Submit Format NVM with PI=011b, PIL=0. 2. Re-identify DPS. 3. Run PI-enabled I/O with valid Type 3 tags.</x:v>
      </x:c>
      <x:c r="F13" s="23" t="str">
        <x:v>Format succeeds and Type 3 PI operation is usable.</x:v>
      </x:c>
      <x:c r="G13" s="23" t="str">
        <x:v>Positive</x:v>
      </x:c>
      <x:c r="H13" s="23" t="str">
        <x:v>Protection Information enablement</x:v>
      </x:c>
      <x:c r="I13" s="23" t="str">
        <x:v>Equivalence partitioning</x:v>
      </x:c>
      <x:c r="J13" s="23" t="str">
        <x:v>P1</x:v>
      </x:c>
      <x:c r="K13" s="23" t="str">
        <x:v>R4,R5,R6</x:v>
      </x:c>
    </x:row>
    <x:row r="14">
      <x:c r="A14" s="23" t="str">
        <x:v>Format with PI disabled and PIL=1</x:v>
      </x:c>
      <x:c r="B14" s="23" t="str">
        <x:v>FMT-COR-013</x:v>
      </x:c>
      <x:c r="C14" s="23" t="str">
        <x:v>Verify PIL has no functional impact when PI is disabled, while still checking implementation-specific reserved/shall-clear handling.</x:v>
      </x:c>
      <x:c r="D14" s="23" t="str">
        <x:v>Namespace active; selected LBA format valid.</x:v>
      </x:c>
      <x:c r="E14" s="23" t="str">
        <x:v>1. Submit Format NVM with PI=000b and PIL=1. 2. Re-identify. 3. Run non-PI I/O.</x:v>
      </x:c>
      <x:c r="F14" s="23" t="str">
        <x:v>Because PI is not enabled, PIL should not change protection behavior. For NVM Command Set 1.0+ compliance, implementations should require PIL cleared to 0; any acceptance must not enable PI.</x:v>
      </x:c>
      <x:c r="G14" s="23" t="str">
        <x:v>Corner</x:v>
      </x:c>
      <x:c r="H14" s="23" t="str">
        <x:v>PIL behavior</x:v>
      </x:c>
      <x:c r="I14" s="23" t="str">
        <x:v>Error guessing</x:v>
      </x:c>
      <x:c r="J14" s="23" t="str">
        <x:v>P2</x:v>
      </x:c>
      <x:c r="K14" s="23" t="str">
        <x:v>R4,R5</x:v>
      </x:c>
    </x:row>
    <x:row r="15">
      <x:c r="A15" s="23" t="str">
        <x:v>Format with secure erase setting: no secure erase</x:v>
      </x:c>
      <x:c r="B15" s="23" t="str">
        <x:v>FMT-POS-014</x:v>
      </x:c>
      <x:c r="C15" s="23" t="str">
        <x:v>Format with SES value for no secure erase and verify namespace is usable after format.</x:v>
      </x:c>
      <x:c r="D15" s="23" t="str">
        <x:v>Controller supports Format NVM; namespace contains disposable test data.</x:v>
      </x:c>
      <x:c r="E15" s="23" t="str">
        <x:v>1. Write known pattern to sample LBAs. 2. Submit Format NVM with SES=no secure erase and valid format fields. 3. Re-identify. 4. Verify new writes and reads are accepted.</x:v>
      </x:c>
      <x:c r="F15" s="23" t="str">
        <x:v>Command completes successfully; namespace is usable. No guarantee is assumed for old user data unless secure erase is requested.</x:v>
      </x:c>
      <x:c r="G15" s="23" t="str">
        <x:v>Positive</x:v>
      </x:c>
      <x:c r="H15" s="23" t="str">
        <x:v>Secure erase settings</x:v>
      </x:c>
      <x:c r="I15" s="23" t="str">
        <x:v>Equivalence partitioning</x:v>
      </x:c>
      <x:c r="J15" s="23" t="str">
        <x:v>P1</x:v>
      </x:c>
      <x:c r="K15" s="23" t="str">
        <x:v>R1,R2</x:v>
      </x:c>
    </x:row>
    <x:row r="16">
      <x:c r="A16" s="23" t="str">
        <x:v>Format with user data erase if supported</x:v>
      </x:c>
      <x:c r="B16" s="23" t="str">
        <x:v>FMT-POS-015</x:v>
      </x:c>
      <x:c r="C16" s="23" t="str">
        <x:v>Format with user data erase secure erase setting where advertised by the controller.</x:v>
      </x:c>
      <x:c r="D16" s="23" t="str">
        <x:v>Controller advertises/supports user data erase for Format NVM; test namespace contains known data.</x:v>
      </x:c>
      <x:c r="E16" s="23" t="str">
        <x:v>1. Write known data over representative LBAs. 2. Submit Format NVM with user data erase SES and valid format fields. 3. Wait for completion. 4. Sample read representative LBAs and verify behavior per implementation security documentation.</x:v>
      </x:c>
      <x:c r="F16" s="23" t="str">
        <x:v>Command completes if supported. Previously written user data should not be recoverable using normal host reads; namespace remains operational.</x:v>
      </x:c>
      <x:c r="G16" s="23" t="str">
        <x:v>Positive</x:v>
      </x:c>
      <x:c r="H16" s="23" t="str">
        <x:v>Secure erase settings</x:v>
      </x:c>
      <x:c r="I16" s="23" t="str">
        <x:v>Equivalence partitioning</x:v>
      </x:c>
      <x:c r="J16" s="23" t="str">
        <x:v>P1</x:v>
      </x:c>
      <x:c r="K16" s="23" t="str">
        <x:v>R1</x:v>
      </x:c>
    </x:row>
    <x:row r="17">
      <x:c r="A17" s="23" t="str">
        <x:v>Format with cryptographic erase if supported</x:v>
      </x:c>
      <x:c r="B17" s="23" t="str">
        <x:v>FMT-POS-016</x:v>
      </x:c>
      <x:c r="C17" s="23" t="str">
        <x:v>Format with cryptographic erase secure erase setting where supported.</x:v>
      </x:c>
      <x:c r="D17" s="23" t="str">
        <x:v>Controller supports cryptographic erase for Format NVM and namespace has test data.</x:v>
      </x:c>
      <x:c r="E17" s="23" t="str">
        <x:v>1. Write known data. 2. Submit Format NVM with crypto erase SES and valid format fields. 3. Wait for completion. 4. Confirm namespace works and old data is not visible using normal reads.</x:v>
      </x:c>
      <x:c r="F17" s="23" t="str">
        <x:v>Command completes if crypto erase is supported; namespace becomes usable with selected format and old data is not visible via normal reads.</x:v>
      </x:c>
      <x:c r="G17" s="23" t="str">
        <x:v>Positive</x:v>
      </x:c>
      <x:c r="H17" s="23" t="str">
        <x:v>Secure erase settings</x:v>
      </x:c>
      <x:c r="I17" s="23" t="str">
        <x:v>Equivalence partitioning</x:v>
      </x:c>
      <x:c r="J17" s="23" t="str">
        <x:v>P1</x:v>
      </x:c>
      <x:c r="K17" s="23" t="str">
        <x:v>R1</x:v>
      </x:c>
    </x:row>
    <x:row r="18">
      <x:c r="A18" s="23" t="str">
        <x:v>Format specific namespace only</x:v>
      </x:c>
      <x:c r="B18" s="23" t="str">
        <x:v>FMT-POS-017</x:v>
      </x:c>
      <x:c r="C18" s="23" t="str">
        <x:v>Verify Format NVM affects the specified active namespace and does not unintentionally change other namespaces.</x:v>
      </x:c>
      <x:c r="D18" s="23" t="str">
        <x:v>At least two active namespaces exist; both are writable and associated with NVM Command Set.</x:v>
      </x:c>
      <x:c r="E18" s="23" t="str">
        <x:v>1. Write unique patterns to namespace A and B. 2. Submit Format NVM targeting namespace A only. 3. Re-identify both namespaces. 4. Verify namespace A format changed as requested and namespace B format/data remain unchanged.</x:v>
      </x:c>
      <x:c r="F18" s="23" t="str">
        <x:v>Only the targeted namespace is affected; other namespaces retain their pre-format configuration and data visibility.</x:v>
      </x:c>
      <x:c r="G18" s="23" t="str">
        <x:v>Positive</x:v>
      </x:c>
      <x:c r="H18" s="23" t="str">
        <x:v>Namespace scope</x:v>
      </x:c>
      <x:c r="I18" s="23" t="str">
        <x:v>Exploratory</x:v>
      </x:c>
      <x:c r="J18" s="23" t="str">
        <x:v>P0</x:v>
      </x:c>
      <x:c r="K18" s="23" t="str">
        <x:v>R1,R2</x:v>
      </x:c>
    </x:row>
    <x:row r="19">
      <x:c r="A19" s="23" t="str">
        <x:v>Format all namespaces when supported</x:v>
      </x:c>
      <x:c r="B19" s="23" t="str">
        <x:v>FMT-POS-018</x:v>
      </x:c>
      <x:c r="C19" s="23" t="str">
        <x:v>Verify broadcast/all-namespace format behavior when supported by the controller and safe in the lab.</x:v>
      </x:c>
      <x:c r="D19" s="23" t="str">
        <x:v>Dedicated test drive or simulator; all namespaces are disposable; controller supports all-namespace Format NVM scope.</x:v>
      </x:c>
      <x:c r="E19" s="23" t="str">
        <x:v>1. Create/attach multiple test namespaces. 2. Submit Format NVM with all-namespace scope and valid common format. 3. Re-identify all affected namespaces. 4. Confirm each affected namespace reports selected format.</x:v>
      </x:c>
      <x:c r="F19" s="23" t="str">
        <x:v>All affected namespaces are formatted consistently or command is rejected if the controller/base spec does not support that scope.</x:v>
      </x:c>
      <x:c r="G19" s="23" t="str">
        <x:v>Positive</x:v>
      </x:c>
      <x:c r="H19" s="23" t="str">
        <x:v>Namespace scope</x:v>
      </x:c>
      <x:c r="I19" s="23" t="str">
        <x:v>Equivalence partitioning</x:v>
      </x:c>
      <x:c r="J19" s="23" t="str">
        <x:v>P2</x:v>
      </x:c>
      <x:c r="K19" s="23" t="str">
        <x:v>R1,R2,R10</x:v>
      </x:c>
    </x:row>
    <x:row r="20">
      <x:c r="A20" s="23" t="str">
        <x:v>Verify Identify Namespace fields after format</x:v>
      </x:c>
      <x:c r="B20" s="23" t="str">
        <x:v>FMT-POS-019</x:v>
      </x:c>
      <x:c r="C20" s="23" t="str">
        <x:v>Validate that post-format Identify Namespace returns format, DPS, metadata, NSZE and NCAP information consistent with the selected LBA format.</x:v>
      </x:c>
      <x:c r="D20" s="23" t="str">
        <x:v>Format has completed successfully using any selected valid format.</x:v>
      </x:c>
      <x:c r="E20" s="23" t="str">
        <x:v>1. Capture Identify Namespace before format. 2. Format to selected valid format. 3. Capture Identify Namespace after format. 4. Compare FLBAS/DPS/LBA size/metadata/NSZE/NCAP to selected format.</x:v>
      </x:c>
      <x:c r="F20" s="23" t="str">
        <x:v>Identify Namespace accurately reports the active User Data Format, protection settings and capacity/size after format.</x:v>
      </x:c>
      <x:c r="G20" s="23" t="str">
        <x:v>Positive</x:v>
      </x:c>
      <x:c r="H20" s="23" t="str">
        <x:v>Post-format identify validation</x:v>
      </x:c>
      <x:c r="I20" s="23" t="str">
        <x:v>Exploratory</x:v>
      </x:c>
      <x:c r="J20" s="23" t="str">
        <x:v>P0</x:v>
      </x:c>
      <x:c r="K20" s="23" t="str">
        <x:v>R3,R4,R5,R7,R8</x:v>
      </x:c>
    </x:row>
    <x:row r="21">
      <x:c r="A21" s="23" t="str">
        <x:v>Verify post-format logical block allocation accounting</x:v>
      </x:c>
      <x:c r="B21" s="23" t="str">
        <x:v>FMT-POS-020</x:v>
      </x:c>
      <x:c r="C21" s="23" t="str">
        <x:v>Verify NUSE/allocation behavior around Format NVM on a thin-provisioned namespace.</x:v>
      </x:c>
      <x:c r="D21" s="23" t="str">
        <x:v>Namespace supports thin provisioning and reports NUSE; test data is disposable.</x:v>
      </x:c>
      <x:c r="E21" s="23" t="str">
        <x:v>1. Record NUSE. 2. Write data to increase allocation. 3. Record NUSE. 4. Format namespace. 5. Re-identify NUSE. 6. Write small data and re-check NUSE.</x:v>
      </x:c>
      <x:c r="F21" s="23" t="str">
        <x:v>Format may allocate or deallocate logical blocks as permitted by the spec. Reported NUSE remains internally consistent and subsequent writes update allocation normally.</x:v>
      </x:c>
      <x:c r="G21" s="23" t="str">
        <x:v>Positive</x:v>
      </x:c>
      <x:c r="H21" s="23" t="str">
        <x:v>Allocation/deallocation effects</x:v>
      </x:c>
      <x:c r="I21" s="23" t="str">
        <x:v>Exploratory</x:v>
      </x:c>
      <x:c r="J21" s="23" t="str">
        <x:v>P1</x:v>
      </x:c>
      <x:c r="K21" s="23" t="str">
        <x:v>R8</x:v>
      </x:c>
    </x:row>
    <x:row r="22">
      <x:c r="A22" s="23" t="str">
        <x:v>Verify no AER for NUSE-only change due to format</x:v>
      </x:c>
      <x:c r="B22" s="23" t="str">
        <x:v>FMT-COR-021</x:v>
      </x:c>
      <x:c r="C22" s="23" t="str">
        <x:v>Check that high-frequency Namespace Utilization change alone is not reported as an Attached or Allocated Namespace Attribute Changed event.</x:v>
      </x:c>
      <x:c r="D22" s="23" t="str">
        <x:v>AER mechanism is enabled; namespace supports NUSE reporting; no other namespace attributes are changed except utilization.</x:v>
      </x:c>
      <x:c r="E22" s="23" t="str">
        <x:v>1. Arm Asynchronous Event Request. 2. Create NUSE-only change using write/deallocate or format scenario in a controlled namespace. 3. Monitor AER completion and persistent event/logs. 4. Re-identify NUSE.</x:v>
      </x:c>
      <x:c r="F22" s="23" t="str">
        <x:v>Controller does not send Attached Namespace Attribute Changed or Allocated Namespace Attribute Changed solely for NUSE change.</x:v>
      </x:c>
      <x:c r="G22" s="23" t="str">
        <x:v>Corner</x:v>
      </x:c>
      <x:c r="H22" s="23" t="str">
        <x:v>Asynchronous event interaction</x:v>
      </x:c>
      <x:c r="I22" s="23" t="str">
        <x:v>Error guessing</x:v>
      </x:c>
      <x:c r="J22" s="23" t="str">
        <x:v>P2</x:v>
      </x:c>
      <x:c r="K22" s="23" t="str">
        <x:v>R8,R12</x:v>
      </x:c>
    </x:row>
    <x:row r="23">
      <x:c r="A23" s="23" t="str">
        <x:v>Format while FDP enabled with matching shared RUH format</x:v>
      </x:c>
      <x:c r="B23" s="23" t="str">
        <x:v>FMT-POS-022</x:v>
      </x:c>
      <x:c r="C23" s="23" t="str">
        <x:v>Validate FDP path where shared Reclaim Unit Handles are used but requested Format Index matches other namespaces.</x:v>
      </x:c>
      <x:c r="D23" s="23" t="str">
        <x:v>FDP enabled in the Endurance Group; shared RUH topology known; matching Format Index is supported by all relevant namespaces.</x:v>
      </x:c>
      <x:c r="E23" s="23" t="str">
        <x:v>1. Identify namespaces sharing RUH. 2. Select Format Index matching other namespaces. 3. Submit Format NVM to specified namespace. 4. Re-identify involved namespaces.</x:v>
      </x:c>
      <x:c r="F23" s="23" t="str">
        <x:v>Command completes successfully; no FDP shared-RUH format conflict is reported.</x:v>
      </x:c>
      <x:c r="G23" s="23" t="str">
        <x:v>Positive</x:v>
      </x:c>
      <x:c r="H23" s="23" t="str">
        <x:v>FDP shared RUH constraints</x:v>
      </x:c>
      <x:c r="I23" s="23" t="str">
        <x:v>Equivalence partitioning</x:v>
      </x:c>
      <x:c r="J23" s="23" t="str">
        <x:v>P1</x:v>
      </x:c>
      <x:c r="K23" s="23" t="str">
        <x:v>R11</x:v>
      </x:c>
    </x:row>
    <x:row r="24">
      <x:c r="A24" s="23" t="str">
        <x:v>Format STS non-zero with LBAFEE enabled and same affected format</x:v>
      </x:c>
      <x:c r="B24" s="23" t="str">
        <x:v>FMT-POS-023</x:v>
      </x:c>
      <x:c r="C24" s="23" t="str">
        <x:v>Verify allowed case for STS non-zero format when LBAFEE=1 and all affected namespaces are already formatted with same LBA format.</x:v>
      </x:c>
      <x:c r="D24" s="23" t="str">
        <x:v>Host Behavior Support LBAFEE=1; selected format has STS non-zero; all namespaces affected by command are formatted with same LBA format.</x:v>
      </x:c>
      <x:c r="E24" s="23" t="str">
        <x:v>1. Confirm LBAFEE=1. 2. Confirm affected namespaces same LBA format and STS non-zero. 3. Submit Format NVM specifying that same Format Index. 4. Re-identify.</x:v>
      </x:c>
      <x:c r="F24" s="23" t="str">
        <x:v>Command completes successfully and STS-related format remains unchanged.</x:v>
      </x:c>
      <x:c r="G24" s="23" t="str">
        <x:v>Positive</x:v>
      </x:c>
      <x:c r="H24" s="23" t="str">
        <x:v>LBAFEE/extended PI formats</x:v>
      </x:c>
      <x:c r="I24" s="23" t="str">
        <x:v>Equivalence partitioning</x:v>
      </x:c>
      <x:c r="J24" s="23" t="str">
        <x:v>P1</x:v>
      </x:c>
      <x:c r="K24" s="23" t="str">
        <x:v>R9,R10</x:v>
      </x:c>
    </x:row>
    <x:row r="25">
      <x:c r="A25" s="23" t="str">
        <x:v>Invalid Format Index above supported range</x:v>
      </x:c>
      <x:c r="B25" s="23" t="str">
        <x:v>FMT-NEG-024</x:v>
      </x:c>
      <x:c r="C25" s="23" t="str">
        <x:v>Submit Format NVM with Format Index one greater than the highest supported LBA format.</x:v>
      </x:c>
      <x:c r="D25" s="23" t="str">
        <x:v>Namespace active and writable; highest valid Format Index known.</x:v>
      </x:c>
      <x:c r="E25" s="23" t="str">
        <x:v>1. Identify highest supported Format Index N. 2. Submit Format NVM with Format Index=N+1. 3. Read completion status. 4. Re-identify namespace.</x:v>
      </x:c>
      <x:c r="F25" s="23" t="str">
        <x:v>Command is aborted with invalid field/invalid namespace or format status. Namespace format remains unchanged.</x:v>
      </x:c>
      <x:c r="G25" s="23" t="str">
        <x:v>Negative</x:v>
      </x:c>
      <x:c r="H25" s="23" t="str">
        <x:v>Format Index validation</x:v>
      </x:c>
      <x:c r="I25" s="23" t="str">
        <x:v>Boundary value analysis</x:v>
      </x:c>
      <x:c r="J25" s="23" t="str">
        <x:v>P0</x:v>
      </x:c>
      <x:c r="K25" s="23" t="str">
        <x:v>R2</x:v>
      </x:c>
    </x:row>
    <x:row r="26">
      <x:c r="A26" s="23" t="str">
        <x:v>Reserved PI value 100b</x:v>
      </x:c>
      <x:c r="B26" s="23" t="str">
        <x:v>FMT-NEG-025</x:v>
      </x:c>
      <x:c r="C26" s="23" t="str">
        <x:v>Submit Format NVM with PI field set to first reserved value 100b.</x:v>
      </x:c>
      <x:c r="D26" s="23" t="str">
        <x:v>Namespace active; selected LBA format otherwise valid.</x:v>
      </x:c>
      <x:c r="E26" s="23" t="str">
        <x:v>1. Submit Format NVM with PI=100b. 2. Check completion. 3. Re-identify namespace.</x:v>
      </x:c>
      <x:c r="F26" s="23" t="str">
        <x:v>Command is rejected; namespace format and DPS remain unchanged.</x:v>
      </x:c>
      <x:c r="G26" s="23" t="str">
        <x:v>Negative</x:v>
      </x:c>
      <x:c r="H26" s="23" t="str">
        <x:v>Protection Information reserved values</x:v>
      </x:c>
      <x:c r="I26" s="23" t="str">
        <x:v>Boundary value analysis</x:v>
      </x:c>
      <x:c r="J26" s="23" t="str">
        <x:v>P0</x:v>
      </x:c>
      <x:c r="K26" s="23" t="str">
        <x:v>R5</x:v>
      </x:c>
    </x:row>
    <x:row r="27">
      <x:c r="A27" s="23" t="str">
        <x:v>Reserved PI value 111b</x:v>
      </x:c>
      <x:c r="B27" s="23" t="str">
        <x:v>FMT-NEG-026</x:v>
      </x:c>
      <x:c r="C27" s="23" t="str">
        <x:v>Submit Format NVM with PI field set to highest reserved value 111b.</x:v>
      </x:c>
      <x:c r="D27" s="23" t="str">
        <x:v>Namespace active; selected LBA format otherwise valid.</x:v>
      </x:c>
      <x:c r="E27" s="23" t="str">
        <x:v>1. Submit Format NVM with PI=111b. 2. Check completion. 3. Re-identify namespace.</x:v>
      </x:c>
      <x:c r="F27" s="23" t="str">
        <x:v>Command is rejected; namespace format and DPS remain unchanged.</x:v>
      </x:c>
      <x:c r="G27" s="23" t="str">
        <x:v>Negative</x:v>
      </x:c>
      <x:c r="H27" s="23" t="str">
        <x:v>Protection Information reserved values</x:v>
      </x:c>
      <x:c r="I27" s="23" t="str">
        <x:v>Boundary value analysis</x:v>
      </x:c>
      <x:c r="J27" s="23" t="str">
        <x:v>P0</x:v>
      </x:c>
      <x:c r="K27" s="23" t="str">
        <x:v>R5</x:v>
      </x:c>
    </x:row>
    <x:row r="28">
      <x:c r="A28" s="23" t="str">
        <x:v>Unsupported PI Type 1</x:v>
      </x:c>
      <x:c r="B28" s="23" t="str">
        <x:v>FMT-NEG-027</x:v>
      </x:c>
      <x:c r="C28" s="23" t="str">
        <x:v>Request Type 1 PI when DPC does not advertise Type 1 support.</x:v>
      </x:c>
      <x:c r="D28" s="23" t="str">
        <x:v>Test namespace/controller configuration where DPC Type 1 is unsupported.</x:v>
      </x:c>
      <x:c r="E28" s="23" t="str">
        <x:v>1. Identify DPC and confirm Type 1 unsupported. 2. Submit Format NVM with PI=001b. 3. Check completion and re-identify.</x:v>
      </x:c>
      <x:c r="F28" s="23" t="str">
        <x:v>Controller aborts the command; namespace format is unchanged.</x:v>
      </x:c>
      <x:c r="G28" s="23" t="str">
        <x:v>Negative</x:v>
      </x:c>
      <x:c r="H28" s="23" t="str">
        <x:v>Protection Information capability</x:v>
      </x:c>
      <x:c r="I28" s="23" t="str">
        <x:v>Equivalence partitioning</x:v>
      </x:c>
      <x:c r="J28" s="23" t="str">
        <x:v>P0</x:v>
      </x:c>
      <x:c r="K28" s="23" t="str">
        <x:v>R4,R5</x:v>
      </x:c>
    </x:row>
    <x:row r="29">
      <x:c r="A29" s="23" t="str">
        <x:v>Unsupported PI Type 2</x:v>
      </x:c>
      <x:c r="B29" s="23" t="str">
        <x:v>FMT-NEG-028</x:v>
      </x:c>
      <x:c r="C29" s="23" t="str">
        <x:v>Request Type 2 PI when DPC does not advertise Type 2 support.</x:v>
      </x:c>
      <x:c r="D29" s="23" t="str">
        <x:v>DPC Type 2 unsupported.</x:v>
      </x:c>
      <x:c r="E29" s="23" t="str">
        <x:v>1. Confirm Type 2 PI unsupported. 2. Submit Format NVM with PI=010b. 3. Check completion and re-identify.</x:v>
      </x:c>
      <x:c r="F29" s="23" t="str">
        <x:v>Controller aborts the command; namespace format is unchanged.</x:v>
      </x:c>
      <x:c r="G29" s="23" t="str">
        <x:v>Negative</x:v>
      </x:c>
      <x:c r="H29" s="23" t="str">
        <x:v>Protection Information capability</x:v>
      </x:c>
      <x:c r="I29" s="23" t="str">
        <x:v>Equivalence partitioning</x:v>
      </x:c>
      <x:c r="J29" s="23" t="str">
        <x:v>P1</x:v>
      </x:c>
      <x:c r="K29" s="23" t="str">
        <x:v>R4,R5</x:v>
      </x:c>
    </x:row>
    <x:row r="30">
      <x:c r="A30" s="23" t="str">
        <x:v>Unsupported PI Type 3</x:v>
      </x:c>
      <x:c r="B30" s="23" t="str">
        <x:v>FMT-NEG-029</x:v>
      </x:c>
      <x:c r="C30" s="23" t="str">
        <x:v>Request Type 3 PI when DPC does not advertise Type 3 support.</x:v>
      </x:c>
      <x:c r="D30" s="23" t="str">
        <x:v>DPC Type 3 unsupported.</x:v>
      </x:c>
      <x:c r="E30" s="23" t="str">
        <x:v>1. Confirm Type 3 PI unsupported. 2. Submit Format NVM with PI=011b. 3. Check completion and re-identify.</x:v>
      </x:c>
      <x:c r="F30" s="23" t="str">
        <x:v>Controller aborts the command; namespace format is unchanged.</x:v>
      </x:c>
      <x:c r="G30" s="23" t="str">
        <x:v>Negative</x:v>
      </x:c>
      <x:c r="H30" s="23" t="str">
        <x:v>Protection Information capability</x:v>
      </x:c>
      <x:c r="I30" s="23" t="str">
        <x:v>Equivalence partitioning</x:v>
      </x:c>
      <x:c r="J30" s="23" t="str">
        <x:v>P1</x:v>
      </x:c>
      <x:c r="K30" s="23" t="str">
        <x:v>R4,R5</x:v>
      </x:c>
    </x:row>
    <x:row r="31">
      <x:c r="A31" s="23" t="str">
        <x:v>PIL set to 1 on NVM 1.0+ implementation</x:v>
      </x:c>
      <x:c r="B31" s="23" t="str">
        <x:v>FMT-NEG-030</x:v>
      </x:c>
      <x:c r="C31" s="23" t="str">
        <x:v>Verify compliance requirement that PIL shall be cleared to 0 for NVM Command Set 1.0 or later.</x:v>
      </x:c>
      <x:c r="D31" s="23" t="str">
        <x:v>Controller claims compliance to NVM Command Set 1.0 or later; selected format supports PI so PIL would otherwise be meaningful.</x:v>
      </x:c>
      <x:c r="E31" s="23" t="str">
        <x:v>1. Submit Format NVM with PI enabled and PIL=1. 2. Observe completion. 3. Re-identify DPS if command is accepted.</x:v>
      </x:c>
      <x:c r="F31" s="23" t="str">
        <x:v>Expected compliance behavior is command rejection or a clear conformance failure if accepted. Namespace must not silently report an unsupported PIL=1 layout.</x:v>
      </x:c>
      <x:c r="G31" s="23" t="str">
        <x:v>Negative</x:v>
      </x:c>
      <x:c r="H31" s="23" t="str">
        <x:v>PIL shall-clear compliance</x:v>
      </x:c>
      <x:c r="I31" s="23" t="str">
        <x:v>Error guessing</x:v>
      </x:c>
      <x:c r="J31" s="23" t="str">
        <x:v>P1</x:v>
      </x:c>
      <x:c r="K31" s="23" t="str">
        <x:v>R4</x:v>
      </x:c>
    </x:row>
    <x:row r="32">
      <x:c r="A32" s="23" t="str">
        <x:v>LBAFEE disabled with 16b Guard PI and STS non-zero</x:v>
      </x:c>
      <x:c r="B32" s="23" t="str">
        <x:v>FMT-NEG-031</x:v>
      </x:c>
      <x:c r="C32" s="23" t="str">
        <x:v>Request an LBA format using 16b Guard Protection Information with STS non-zero when LBAFEE is not enabled.</x:v>
      </x:c>
      <x:c r="D32" s="23" t="str">
        <x:v>Host Behavior Support LBAFEE is not set to 1; selected format has 16b Guard PI with STS non-zero.</x:v>
      </x:c>
      <x:c r="E32" s="23" t="str">
        <x:v>1. Confirm LBAFEE=0. 2. Submit Format NVM specifying the 16b Guard/ST non-zero format. 3. Check completion and re-identify.</x:v>
      </x:c>
      <x:c r="F32" s="23" t="str">
        <x:v>Controller aborts Format NVM with Invalid Namespace or Format.</x:v>
      </x:c>
      <x:c r="G32" s="23" t="str">
        <x:v>Negative</x:v>
      </x:c>
      <x:c r="H32" s="23" t="str">
        <x:v>LBAFEE/extended PI formats</x:v>
      </x:c>
      <x:c r="I32" s="23" t="str">
        <x:v>Equivalence partitioning</x:v>
      </x:c>
      <x:c r="J32" s="23" t="str">
        <x:v>P0</x:v>
      </x:c>
      <x:c r="K32" s="23" t="str">
        <x:v>R9</x:v>
      </x:c>
    </x:row>
    <x:row r="33">
      <x:c r="A33" s="23" t="str">
        <x:v>LBAFEE disabled with 32b Guard PI</x:v>
      </x:c>
      <x:c r="B33" s="23" t="str">
        <x:v>FMT-NEG-032</x:v>
      </x:c>
      <x:c r="C33" s="23" t="str">
        <x:v>Request 32b Guard Protection Information format when LBAFEE is not enabled.</x:v>
      </x:c>
      <x:c r="D33" s="23" t="str">
        <x:v>Host Behavior Support LBAFEE=0; selected format is 32b Guard PI.</x:v>
      </x:c>
      <x:c r="E33" s="23" t="str">
        <x:v>1. Confirm LBAFEE=0. 2. Submit Format NVM specifying 32b Guard PI format. 3. Check completion and re-identify.</x:v>
      </x:c>
      <x:c r="F33" s="23" t="str">
        <x:v>Controller aborts Format NVM with Invalid Namespace or Format.</x:v>
      </x:c>
      <x:c r="G33" s="23" t="str">
        <x:v>Negative</x:v>
      </x:c>
      <x:c r="H33" s="23" t="str">
        <x:v>LBAFEE/extended PI formats</x:v>
      </x:c>
      <x:c r="I33" s="23" t="str">
        <x:v>Equivalence partitioning</x:v>
      </x:c>
      <x:c r="J33" s="23" t="str">
        <x:v>P0</x:v>
      </x:c>
      <x:c r="K33" s="23" t="str">
        <x:v>R9</x:v>
      </x:c>
    </x:row>
    <x:row r="34">
      <x:c r="A34" s="23" t="str">
        <x:v>LBAFEE disabled with 64b Guard PI</x:v>
      </x:c>
      <x:c r="B34" s="23" t="str">
        <x:v>FMT-NEG-033</x:v>
      </x:c>
      <x:c r="C34" s="23" t="str">
        <x:v>Request 64b Guard Protection Information format when LBAFEE is not enabled.</x:v>
      </x:c>
      <x:c r="D34" s="23" t="str">
        <x:v>Host Behavior Support LBAFEE=0; selected format is 64b Guard PI.</x:v>
      </x:c>
      <x:c r="E34" s="23" t="str">
        <x:v>1. Confirm LBAFEE=0. 2. Submit Format NVM specifying 64b Guard PI format. 3. Check completion and re-identify.</x:v>
      </x:c>
      <x:c r="F34" s="23" t="str">
        <x:v>Controller aborts Format NVM with Invalid Namespace or Format.</x:v>
      </x:c>
      <x:c r="G34" s="23" t="str">
        <x:v>Negative</x:v>
      </x:c>
      <x:c r="H34" s="23" t="str">
        <x:v>LBAFEE/extended PI formats</x:v>
      </x:c>
      <x:c r="I34" s="23" t="str">
        <x:v>Equivalence partitioning</x:v>
      </x:c>
      <x:c r="J34" s="23" t="str">
        <x:v>P0</x:v>
      </x:c>
      <x:c r="K34" s="23" t="str">
        <x:v>R9</x:v>
      </x:c>
    </x:row>
    <x:row r="35">
      <x:c r="A35" s="23" t="str">
        <x:v>LBAFEE enabled STS non-zero but affected namespace format mismatch</x:v>
      </x:c>
      <x:c r="B35" s="23" t="str">
        <x:v>FMT-NEG-034</x:v>
      </x:c>
      <x:c r="C35" s="23" t="str">
        <x:v>With LBAFEE=1, request STS non-zero format affecting at least one namespace not already formatted with the same LBA format.</x:v>
      </x:c>
      <x:c r="D35" s="23" t="str">
        <x:v>LBAFEE=1; command scope affects multiple namespaces; at least one affected namespace has a different LBA format.</x:v>
      </x:c>
      <x:c r="E35" s="23" t="str">
        <x:v>1. Configure namespaces with differing current formats. 2. Submit Format NVM specifying STS non-zero format. 3. Check completion.</x:v>
      </x:c>
      <x:c r="F35" s="23" t="str">
        <x:v>Controller aborts with Invalid Namespace or Format.</x:v>
      </x:c>
      <x:c r="G35" s="23" t="str">
        <x:v>Negative</x:v>
      </x:c>
      <x:c r="H35" s="23" t="str">
        <x:v>LBAFEE/STS namespace consistency</x:v>
      </x:c>
      <x:c r="I35" s="23" t="str">
        <x:v>Equivalence partitioning</x:v>
      </x:c>
      <x:c r="J35" s="23" t="str">
        <x:v>P0</x:v>
      </x:c>
      <x:c r="K35" s="23" t="str">
        <x:v>R10</x:v>
      </x:c>
    </x:row>
    <x:row r="36">
      <x:c r="A36" s="23" t="str">
        <x:v>FDP enabled shared RUH with Format Index mismatch</x:v>
      </x:c>
      <x:c r="B36" s="23" t="str">
        <x:v>FMT-NEG-035</x:v>
      </x:c>
      <x:c r="C36" s="23" t="str">
        <x:v>Verify FDP restriction: shared RUH and requested Format Index mismatch with other namespaces.</x:v>
      </x:c>
      <x:c r="D36" s="23" t="str">
        <x:v>FDP enabled in Endurance Group; specified namespace uses a Reclaim Unit Handle shared with other namespaces; requested Format Index differs from other namespaces.</x:v>
      </x:c>
      <x:c r="E36" s="23" t="str">
        <x:v>1. Identify RUH sharing topology and current Format Index of namespaces. 2. Submit Format NVM on specified namespace using mismatching Format Index. 3. Check completion.</x:v>
      </x:c>
      <x:c r="F36" s="23" t="str">
        <x:v>Controller aborts command with Invalid Format.</x:v>
      </x:c>
      <x:c r="G36" s="23" t="str">
        <x:v>Negative</x:v>
      </x:c>
      <x:c r="H36" s="23" t="str">
        <x:v>FDP shared RUH constraints</x:v>
      </x:c>
      <x:c r="I36" s="23" t="str">
        <x:v>Equivalence partitioning</x:v>
      </x:c>
      <x:c r="J36" s="23" t="str">
        <x:v>P0</x:v>
      </x:c>
      <x:c r="K36" s="23" t="str">
        <x:v>R11</x:v>
      </x:c>
    </x:row>
    <x:row r="37">
      <x:c r="A37" s="23" t="str">
        <x:v>Format active namespace not associated with NVM Command Set</x:v>
      </x:c>
      <x:c r="B37" s="23" t="str">
        <x:v>FMT-NEG-036</x:v>
      </x:c>
      <x:c r="C37" s="23" t="str">
        <x:v>Attempt Format NVM NVM-command-set-specific format against an active namespace not associated with NVM Command Set.</x:v>
      </x:c>
      <x:c r="D37" s="23" t="str">
        <x:v>Controller has a namespace associated with another I/O Command Set or simulator can emulate it.</x:v>
      </x:c>
      <x:c r="E37" s="23" t="str">
        <x:v>1. Identify namespace command set association. 2. Submit Format NVM using NVM Command Set fields. 3. Check completion.</x:v>
      </x:c>
      <x:c r="F37" s="23" t="str">
        <x:v>Command is rejected; namespace is not formatted using NVM Command Set semantics.</x:v>
      </x:c>
      <x:c r="G37" s="23" t="str">
        <x:v>Negative</x:v>
      </x:c>
      <x:c r="H37" s="23" t="str">
        <x:v>Namespace association</x:v>
      </x:c>
      <x:c r="I37" s="23" t="str">
        <x:v>Error guessing</x:v>
      </x:c>
      <x:c r="J37" s="23" t="str">
        <x:v>P1</x:v>
      </x:c>
      <x:c r="K37" s="23" t="str">
        <x:v>R1</x:v>
      </x:c>
    </x:row>
    <x:row r="38">
      <x:c r="A38" s="23" t="str">
        <x:v>Format inactive NSID</x:v>
      </x:c>
      <x:c r="B38" s="23" t="str">
        <x:v>FMT-NEG-037</x:v>
      </x:c>
      <x:c r="C38" s="23" t="str">
        <x:v>Submit Format NVM to an inactive namespace identifier.</x:v>
      </x:c>
      <x:c r="D38" s="23" t="str">
        <x:v>Inactive NSID value known from Identify Namespace List.</x:v>
      </x:c>
      <x:c r="E38" s="23" t="str">
        <x:v>1. Select inactive NSID. 2. Submit Format NVM with otherwise valid fields. 3. Check completion.</x:v>
      </x:c>
      <x:c r="F38" s="23" t="str">
        <x:v>Command is rejected and no active namespace is affected.</x:v>
      </x:c>
      <x:c r="G38" s="23" t="str">
        <x:v>Negative</x:v>
      </x:c>
      <x:c r="H38" s="23" t="str">
        <x:v>Namespace scope</x:v>
      </x:c>
      <x:c r="I38" s="23" t="str">
        <x:v>Boundary value analysis</x:v>
      </x:c>
      <x:c r="J38" s="23" t="str">
        <x:v>P0</x:v>
      </x:c>
      <x:c r="K38" s="23" t="str">
        <x:v>R1</x:v>
      </x:c>
    </x:row>
    <x:row r="39">
      <x:c r="A39" s="23" t="str">
        <x:v>Format invalid NSID 0h</x:v>
      </x:c>
      <x:c r="B39" s="23" t="str">
        <x:v>FMT-NEG-038</x:v>
      </x:c>
      <x:c r="C39" s="23" t="str">
        <x:v>Submit Format NVM with NSID=0h.</x:v>
      </x:c>
      <x:c r="D39" s="23" t="str">
        <x:v>Controller under test accessible through admin queue.</x:v>
      </x:c>
      <x:c r="E39" s="23" t="str">
        <x:v>1. Submit Format NVM with NSID=0h and valid CDW10. 2. Check completion. 3. Verify active namespaces unchanged.</x:v>
      </x:c>
      <x:c r="F39" s="23" t="str">
        <x:v>Command is rejected as invalid namespace/field; no namespace format changes.</x:v>
      </x:c>
      <x:c r="G39" s="23" t="str">
        <x:v>Negative</x:v>
      </x:c>
      <x:c r="H39" s="23" t="str">
        <x:v>Namespace identifier validation</x:v>
      </x:c>
      <x:c r="I39" s="23" t="str">
        <x:v>Boundary value analysis</x:v>
      </x:c>
      <x:c r="J39" s="23" t="str">
        <x:v>P0</x:v>
      </x:c>
      <x:c r="K39" s="23" t="str">
        <x:v>R1</x:v>
      </x:c>
    </x:row>
    <x:row r="40">
      <x:c r="A40" s="23" t="str">
        <x:v>Format read-only namespace or read-only range</x:v>
      </x:c>
      <x:c r="B40" s="23" t="str">
        <x:v>FMT-NEG-039</x:v>
      </x:c>
      <x:c r="C40" s="23" t="str">
        <x:v>Verify Format NVM is denied when it would write/erase a read-only namespace/range.</x:v>
      </x:c>
      <x:c r="D40" s="23" t="str">
        <x:v>Namespace or LBA range is configured read-only using supported mechanism.</x:v>
      </x:c>
      <x:c r="E40" s="23" t="str">
        <x:v>1. Configure/read back read-only state. 2. Submit Format NVM targeting that namespace. 3. Check completion and re-identify.</x:v>
      </x:c>
      <x:c r="F40" s="23" t="str">
        <x:v>Command is aborted, typically with Attempted Write to Read Only Range; data and format remain unchanged.</x:v>
      </x:c>
      <x:c r="G40" s="23" t="str">
        <x:v>Negative</x:v>
      </x:c>
      <x:c r="H40" s="23" t="str">
        <x:v>Access control / read-only</x:v>
      </x:c>
      <x:c r="I40" s="23" t="str">
        <x:v>Error guessing</x:v>
      </x:c>
      <x:c r="J40" s="23" t="str">
        <x:v>P1</x:v>
      </x:c>
      <x:c r="K40" s="23" t="str">
        <x:v>R1</x:v>
      </x:c>
    </x:row>
    <x:row r="41">
      <x:c r="A41" s="23" t="str">
        <x:v>Unsupported secure erase setting</x:v>
      </x:c>
      <x:c r="B41" s="23" t="str">
        <x:v>FMT-NEG-040</x:v>
      </x:c>
      <x:c r="C41" s="23" t="str">
        <x:v>Submit Format NVM using a secure erase setting not supported by the controller.</x:v>
      </x:c>
      <x:c r="D41" s="23" t="str">
        <x:v>Controller reports unsupported SES value or simulator can inject unsupported SES behavior.</x:v>
      </x:c>
      <x:c r="E41" s="23" t="str">
        <x:v>1. Identify supported Format NVM secure erase capabilities. 2. Submit Format NVM with unsupported SES. 3. Check completion.</x:v>
      </x:c>
      <x:c r="F41" s="23" t="str">
        <x:v>Command is rejected and namespace format remains unchanged.</x:v>
      </x:c>
      <x:c r="G41" s="23" t="str">
        <x:v>Negative</x:v>
      </x:c>
      <x:c r="H41" s="23" t="str">
        <x:v>Secure erase settings</x:v>
      </x:c>
      <x:c r="I41" s="23" t="str">
        <x:v>Equivalence partitioning</x:v>
      </x:c>
      <x:c r="J41" s="23" t="str">
        <x:v>P1</x:v>
      </x:c>
      <x:c r="K41" s="23" t="str">
        <x:v>R1</x:v>
      </x:c>
    </x:row>
    <x:row r="42">
      <x:c r="A42" s="23" t="str">
        <x:v>Format to metadata format but host I/O uses wrong metadata transfer mode</x:v>
      </x:c>
      <x:c r="B42" s="23" t="str">
        <x:v>FMT-NEG-041</x:v>
      </x:c>
      <x:c r="C42" s="23" t="str">
        <x:v>After successful format with MSET=0 or MSET=1, intentionally issue I/O using the opposite metadata transfer mode.</x:v>
      </x:c>
      <x:c r="D42" s="23" t="str">
        <x:v>Namespace successfully formatted with metadata size &gt; 0; test tool can issue raw NVMe I/O with controlled metadata pointers.</x:v>
      </x:c>
      <x:c r="E42" s="23" t="str">
        <x:v>1. Format with MSET=0. 2. Issue write as extended LBA, or format with MSET=1 and issue separate metadata buffer. 3. Check I/O completion status.</x:v>
      </x:c>
      <x:c r="F42" s="23" t="str">
        <x:v>Format succeeds, but subsequent incorrectly formed I/O fails or is rejected by host/controller path according to metadata layout rules.</x:v>
      </x:c>
      <x:c r="G42" s="23" t="str">
        <x:v>Negative</x:v>
      </x:c>
      <x:c r="H42" s="23" t="str">
        <x:v>Post-format metadata interoperability</x:v>
      </x:c>
      <x:c r="I42" s="23" t="str">
        <x:v>Error guessing</x:v>
      </x:c>
      <x:c r="J42" s="23" t="str">
        <x:v>P2</x:v>
      </x:c>
      <x:c r="K42" s="23" t="str">
        <x:v>R7</x:v>
      </x:c>
    </x:row>
    <x:row r="43">
      <x:c r="A43" s="23" t="str">
        <x:v>Old-format I/O after logical block size change</x:v>
      </x:c>
      <x:c r="B43" s="23" t="str">
        <x:v>FMT-NEG-042</x:v>
      </x:c>
      <x:c r="C43" s="23" t="str">
        <x:v>Verify host cannot continue using old logical block size assumptions after Format NVM changes logical block size.</x:v>
      </x:c>
      <x:c r="D43" s="23" t="str">
        <x:v>Namespace formatted from one logical block size to another; raw I/O tool can intentionally use stale transfer length.</x:v>
      </x:c>
      <x:c r="E43" s="23" t="str">
        <x:v>1. Format to LBA size A. 2. Format to different LBA size B. 3. Issue stale I/O sized/aligned for A instead of B. 4. Check status.</x:v>
      </x:c>
      <x:c r="F43" s="23" t="str">
        <x:v>Stale-format I/O is rejected by host stack or fails validation; correct I/O using new LBA size succeeds.</x:v>
      </x:c>
      <x:c r="G43" s="23" t="str">
        <x:v>Negative</x:v>
      </x:c>
      <x:c r="H43" s="23" t="str">
        <x:v>Post-format host state refresh</x:v>
      </x:c>
      <x:c r="I43" s="23" t="str">
        <x:v>Error guessing</x:v>
      </x:c>
      <x:c r="J43" s="23" t="str">
        <x:v>P1</x:v>
      </x:c>
      <x:c r="K43" s="23" t="str">
        <x:v>R3</x:v>
      </x:c>
    </x:row>
    <x:row r="44">
      <x:c r="A44" s="23" t="str">
        <x:v>Repeat same Format NVM twice</x:v>
      </x:c>
      <x:c r="B44" s="23" t="str">
        <x:v>FMT-COR-043</x:v>
      </x:c>
      <x:c r="C44" s="23" t="str">
        <x:v>Verify idempotent behavior for repeated formatting with identical CDW10 fields.</x:v>
      </x:c>
      <x:c r="D44" s="23" t="str">
        <x:v>Namespace active; data disposable.</x:v>
      </x:c>
      <x:c r="E44" s="23" t="str">
        <x:v>1. Submit Format NVM with valid fields. 2. Re-identify. 3. Submit the same Format NVM again. 4. Re-identify and run I/O smoke test.</x:v>
      </x:c>
      <x:c r="F44" s="23" t="str">
        <x:v>Both commands complete successfully. Namespace remains in the selected format with no inconsistent Identify data.</x:v>
      </x:c>
      <x:c r="G44" s="23" t="str">
        <x:v>Corner</x:v>
      </x:c>
      <x:c r="H44" s="23" t="str">
        <x:v>Idempotency</x:v>
      </x:c>
      <x:c r="I44" s="23" t="str">
        <x:v>Exploratory</x:v>
      </x:c>
      <x:c r="J44" s="23" t="str">
        <x:v>P2</x:v>
      </x:c>
      <x:c r="K44" s="23" t="str">
        <x:v>R1,R2</x:v>
      </x:c>
    </x:row>
    <x:row r="45">
      <x:c r="A45" s="23" t="str">
        <x:v>Format after heavy write workload</x:v>
      </x:c>
      <x:c r="B45" s="23" t="str">
        <x:v>FMT-EXP-044</x:v>
      </x:c>
      <x:c r="C45" s="23" t="str">
        <x:v>Explore format behavior after namespace has high utilization and mixed metadata/PI history.</x:v>
      </x:c>
      <x:c r="D45" s="23" t="str">
        <x:v>Namespace is disposable; workload generator available.</x:v>
      </x:c>
      <x:c r="E45" s="23" t="str">
        <x:v>1. Fill namespace with mixed patterns using current format. 2. Run random writes/reads. 3. Submit Format NVM to a valid format. 4. Re-identify and run fresh I/O qualification.</x:v>
      </x:c>
      <x:c r="F45" s="23" t="str">
        <x:v>Format completes and clears prior state sufficiently for new format operation; no stale metadata/PI errors occur after format.</x:v>
      </x:c>
      <x:c r="G45" s="23" t="str">
        <x:v>Exploratory</x:v>
      </x:c>
      <x:c r="H45" s="23" t="str">
        <x:v>State transition robustness</x:v>
      </x:c>
      <x:c r="I45" s="23" t="str">
        <x:v>Exploratory</x:v>
      </x:c>
      <x:c r="J45" s="23" t="str">
        <x:v>P2</x:v>
      </x:c>
      <x:c r="K45" s="23" t="str">
        <x:v>R1,R7,R8</x:v>
      </x:c>
    </x:row>
    <x:row r="46">
      <x:c r="A46" s="23" t="str">
        <x:v>Controller reset during Format NVM</x:v>
      </x:c>
      <x:c r="B46" s="23" t="str">
        <x:v>FMT-EXP-045</x:v>
      </x:c>
      <x:c r="C46" s="23" t="str">
        <x:v>Explore recovery when a controller reset occurs while Format NVM is in progress.</x:v>
      </x:c>
      <x:c r="D46" s="23" t="str">
        <x:v>Dedicated test device/simulator; reset injection supported; data disposable.</x:v>
      </x:c>
      <x:c r="E46" s="23" t="str">
        <x:v>1. Start long-running Format NVM, preferably secure erase. 2. Inject controller reset during operation. 3. Reinitialize controller. 4. Identify namespace and determine final format state. 5. Run I/O smoke test or retry format if required.</x:v>
      </x:c>
      <x:c r="F46" s="23" t="str">
        <x:v>Controller recovers to a consistent state: command completes, aborts, or requires retry as defined by implementation/base behavior. Namespace must not expose inconsistent format metadata.</x:v>
      </x:c>
      <x:c r="G46" s="23" t="str">
        <x:v>Exploratory</x:v>
      </x:c>
      <x:c r="H46" s="23" t="str">
        <x:v>Recovery/resilience</x:v>
      </x:c>
      <x:c r="I46" s="23" t="str">
        <x:v>Error guessing</x:v>
      </x:c>
      <x:c r="J46" s="23" t="str">
        <x:v>P2</x:v>
      </x:c>
      <x:c r="K46" s="23" t="str">
        <x:v>R1,R2,R3</x:v>
      </x:c>
    </x:row>
    <x:row r="47">
      <x:c r="A47" s="23" t="str">
        <x:v>Power cycle during Format NVM</x:v>
      </x:c>
      <x:c r="B47" s="23" t="str">
        <x:v>FMT-EXP-046</x:v>
      </x:c>
      <x:c r="C47" s="23" t="str">
        <x:v>Explore power-fail resilience during Format NVM.</x:v>
      </x:c>
      <x:c r="D47" s="23" t="str">
        <x:v>Power fault injection available; device is dedicated and data disposable.</x:v>
      </x:c>
      <x:c r="E47" s="23" t="str">
        <x:v>1. Start Format NVM. 2. Remove power during operation. 3. Restore power and enumerate controller. 4. Identify namespace. 5. Run read/write smoke test or retry format.</x:v>
      </x:c>
      <x:c r="F47" s="23" t="str">
        <x:v>After recovery, controller and namespace are discoverable and in a consistent pre-format or post-format state, or format can be retried cleanly.</x:v>
      </x:c>
      <x:c r="G47" s="23" t="str">
        <x:v>Exploratory</x:v>
      </x:c>
      <x:c r="H47" s="23" t="str">
        <x:v>Recovery/resilience</x:v>
      </x:c>
      <x:c r="I47" s="23" t="str">
        <x:v>Error guessing</x:v>
      </x:c>
      <x:c r="J47" s="23" t="str">
        <x:v>P2</x:v>
      </x:c>
      <x:c r="K47" s="23" t="str">
        <x:v>R1,R2,R3</x:v>
      </x:c>
    </x:row>
    <x:row r="48">
      <x:c r="A48" s="23" t="str">
        <x:v>Concurrent I/O submitted during Format NVM</x:v>
      </x:c>
      <x:c r="B48" s="23" t="str">
        <x:v>FMT-EXP-047</x:v>
      </x:c>
      <x:c r="C48" s="23" t="str">
        <x:v>Verify behavior when host submits I/O to a namespace while Format NVM is in progress.</x:v>
      </x:c>
      <x:c r="D48" s="23" t="str">
        <x:v>Admin and I/O queues active; format can be made long enough for overlap; namespace data disposable.</x:v>
      </x:c>
      <x:c r="E48" s="23" t="str">
        <x:v>1. Start Format NVM. 2. Submit reads/writes to same namespace before format completion. 3. Capture completion statuses. 4. After format, run clean I/O.</x:v>
      </x:c>
      <x:c r="F48" s="23" t="str">
        <x:v>Overlapping I/O is quiesced, aborted, or completed according to controller/base behavior, but no data corruption or inconsistent post-format state occurs.</x:v>
      </x:c>
      <x:c r="G48" s="23" t="str">
        <x:v>Exploratory</x:v>
      </x:c>
      <x:c r="H48" s="23" t="str">
        <x:v>Command interaction</x:v>
      </x:c>
      <x:c r="I48" s="23" t="str">
        <x:v>Error guessing</x:v>
      </x:c>
      <x:c r="J48" s="23" t="str">
        <x:v>P2</x:v>
      </x:c>
      <x:c r="K48" s="23" t="str">
        <x:v>R1</x:v>
      </x:c>
    </x:row>
    <x:row r="49">
      <x:c r="A49" s="23" t="str">
        <x:v>Format with maximum namespace size</x:v>
      </x:c>
      <x:c r="B49" s="23" t="str">
        <x:v>FMT-COR-048</x:v>
      </x:c>
      <x:c r="C49" s="23" t="str">
        <x:v>Validate Format NVM on the largest namespace supported by test hardware/simulator.</x:v>
      </x:c>
      <x:c r="D49" s="23" t="str">
        <x:v>Largest practical namespace created/attached; data disposable.</x:v>
      </x:c>
      <x:c r="E49" s="23" t="str">
        <x:v>1. Identify NSZE/NCAP. 2. Submit Format NVM with valid format. 3. Monitor completion. 4. Re-identify and perform boundary I/O at LBA 0 and last LBA.</x:v>
      </x:c>
      <x:c r="F49" s="23" t="str">
        <x:v>Format completes within expected device limits. LBA 0 and last valid LBA are accessible using selected logical block size.</x:v>
      </x:c>
      <x:c r="G49" s="23" t="str">
        <x:v>Corner</x:v>
      </x:c>
      <x:c r="H49" s="23" t="str">
        <x:v>Namespace size boundary</x:v>
      </x:c>
      <x:c r="I49" s="23" t="str">
        <x:v>Boundary value analysis</x:v>
      </x:c>
      <x:c r="J49" s="23" t="str">
        <x:v>P1</x:v>
      </x:c>
      <x:c r="K49" s="23" t="str">
        <x:v>R1,R3</x:v>
      </x:c>
    </x:row>
    <x:row r="50">
      <x:c r="A50" s="23" t="str">
        <x:v>Format with minimum namespace size</x:v>
      </x:c>
      <x:c r="B50" s="23" t="str">
        <x:v>FMT-COR-049</x:v>
      </x:c>
      <x:c r="C50" s="23" t="str">
        <x:v>Validate Format NVM on the smallest practical namespace.</x:v>
      </x:c>
      <x:c r="D50" s="23" t="str">
        <x:v>Small namespace created using namespace management or simulator.</x:v>
      </x:c>
      <x:c r="E50" s="23" t="str">
        <x:v>1. Create/attach smallest practical namespace. 2. Format with valid fields. 3. Re-identify. 4. Write/read LBA 0.</x:v>
      </x:c>
      <x:c r="F50" s="23" t="str">
        <x:v>Format succeeds and the minimal namespace remains usable.</x:v>
      </x:c>
      <x:c r="G50" s="23" t="str">
        <x:v>Corner</x:v>
      </x:c>
      <x:c r="H50" s="23" t="str">
        <x:v>Namespace size boundary</x:v>
      </x:c>
      <x:c r="I50" s="23" t="str">
        <x:v>Boundary value analysis</x:v>
      </x:c>
      <x:c r="J50" s="23" t="str">
        <x:v>P1</x:v>
      </x:c>
      <x:c r="K50" s="23" t="str">
        <x:v>R1,R3</x:v>
      </x:c>
    </x:row>
    <x:row r="51">
      <x:c r="A51" s="23" t="str">
        <x:v>Format all supported LBA formats smoke matrix</x:v>
      </x:c>
      <x:c r="B51" s="23" t="str">
        <x:v>FMT-EXP-050</x:v>
      </x:c>
      <x:c r="C51" s="23" t="str">
        <x:v>Iterate through every advertised valid LBA format using safe non-secure format and run post-format smoke checks.</x:v>
      </x:c>
      <x:c r="D51" s="23" t="str">
        <x:v>Dedicated test namespace; complete list of LBA formats available from Identify.</x:v>
      </x:c>
      <x:c r="E51" s="23" t="str">
        <x:v>1. For each valid Format Index, submit Format NVM with compatible PI/MSET/PIL settings. 2. Re-identify. 3. Run basic write/read/verify. 4. Restore default format at end.</x:v>
      </x:c>
      <x:c r="F51" s="23" t="str">
        <x:v>Every advertised valid and compatible format either completes successfully or fails only when constrained by documented capabilities such as DPC/LBAFEE/FDP.</x:v>
      </x:c>
      <x:c r="G51" s="23" t="str">
        <x:v>Exploratory</x:v>
      </x:c>
      <x:c r="H51" s="23" t="str">
        <x:v>Format matrix coverage</x:v>
      </x:c>
      <x:c r="I51" s="23" t="str">
        <x:v>Exploratory</x:v>
      </x:c>
      <x:c r="J51" s="23" t="str">
        <x:v>P0</x:v>
      </x:c>
      <x:c r="K51" s="23" t="str">
        <x:v>R2,R3,R4,R5,R7,R9,R11</x:v>
      </x:c>
    </x:row>
    <x:row r="52">
      <x:c r="A52" s="23" t="str">
        <x:v>Post-format PI I/O command compatibility</x:v>
      </x:c>
      <x:c r="B52" s="23" t="str">
        <x:v>FMT-POS-051</x:v>
      </x:c>
      <x:c r="C52" s="23" t="str">
        <x:v>After enabling PI, verify Copy, Read, Verify, Write and Compare use appropriate protection information.</x:v>
      </x:c>
      <x:c r="D52" s="23" t="str">
        <x:v>Namespace formatted successfully with PI; optional commands supported by controller are known.</x:v>
      </x:c>
      <x:c r="E52" s="23" t="str">
        <x:v>1. Format with supported PI type. 2. Issue Write with valid PI. 3. Issue Read and Verify with PI checks. 4. Issue Compare and Copy if supported. 5. Validate completion status.</x:v>
      </x:c>
      <x:c r="F52" s="23" t="str">
        <x:v>PI-enabled commands that are supported by the controller accept valid protection information and complete successfully.</x:v>
      </x:c>
      <x:c r="G52" s="23" t="str">
        <x:v>Positive</x:v>
      </x:c>
      <x:c r="H52" s="23" t="str">
        <x:v>PI downstream command behavior</x:v>
      </x:c>
      <x:c r="I52" s="23" t="str">
        <x:v>Equivalence partitioning</x:v>
      </x:c>
      <x:c r="J52" s="23" t="str">
        <x:v>P1</x:v>
      </x:c>
      <x:c r="K52" s="23" t="str">
        <x:v>R5</x:v>
      </x:c>
    </x:row>
    <x:row r="53">
      <x:c r="A53" s="23" t="str">
        <x:v>Post-format PI error detection</x:v>
      </x:c>
      <x:c r="B53" s="23" t="str">
        <x:v>FMT-NEG-052</x:v>
      </x:c>
      <x:c r="C53" s="23" t="str">
        <x:v>After enabling PI, intentionally provide bad guard/application/reference tag to confirm PI format is active.</x:v>
      </x:c>
      <x:c r="D53" s="23" t="str">
        <x:v>Namespace formatted with supported PI type; test tool can corrupt PI fields.</x:v>
      </x:c>
      <x:c r="E53" s="23" t="str">
        <x:v>1. Format with supported PI. 2. Issue Write/Read/Verify/Compare with intentionally incorrect PI tag/check field. 3. Capture status.</x:v>
      </x:c>
      <x:c r="F53" s="23" t="str">
        <x:v>Controller detects invalid protection information on applicable commands and returns the appropriate end-to-end PI error status.</x:v>
      </x:c>
      <x:c r="G53" s="23" t="str">
        <x:v>Negative</x:v>
      </x:c>
      <x:c r="H53" s="23" t="str">
        <x:v>PI downstream command behavior</x:v>
      </x:c>
      <x:c r="I53" s="23" t="str">
        <x:v>Error guessing</x:v>
      </x:c>
      <x:c r="J53" s="23" t="str">
        <x:v>P1</x:v>
      </x:c>
      <x:c r="K53" s="23" t="str">
        <x:v>R5</x:v>
      </x:c>
    </x:row>
    <x:row r="54">
      <x:c r="A54" s="23" t="str">
        <x:v>Verify STS cannot be changed 0 to non-zero by Format NVM</x:v>
      </x:c>
      <x:c r="B54" s="23" t="str">
        <x:v>FMT-NEG-053</x:v>
      </x:c>
      <x:c r="C54" s="23" t="str">
        <x:v>Validate host consideration that Format NVM does not provide a method to change STS from 0h to non-zero.</x:v>
      </x:c>
      <x:c r="D54" s="23" t="str">
        <x:v>Namespace currently formatted with STS=0; alternate format with different non-zero STS exists only via namespace management path.</x:v>
      </x:c>
      <x:c r="E54" s="23" t="str">
        <x:v>1. Identify current STS=0. 2. Attempt Format NVM specifying LBA format that would require STS transition to non-zero. 3. Check completion and Identify.</x:v>
      </x:c>
      <x:c r="F54" s="23" t="str">
        <x:v>Format NVM does not change STS from 0h to non-zero. Command is rejected or namespace remains with original STS; namespace management is required for such change.</x:v>
      </x:c>
      <x:c r="G54" s="23" t="str">
        <x:v>Negative</x:v>
      </x:c>
      <x:c r="H54" s="23" t="str">
        <x:v>Storage Tag Size transition</x:v>
      </x:c>
      <x:c r="I54" s="23" t="str">
        <x:v>Error guessing</x:v>
      </x:c>
      <x:c r="J54" s="23" t="str">
        <x:v>P1</x:v>
      </x:c>
      <x:c r="K54" s="23" t="str">
        <x:v>R13</x:v>
      </x:c>
    </x:row>
    <x:row r="55">
      <x:c r="A55" s="23" t="str">
        <x:v>Verify STS cannot be changed non-zero to another non-zero by Format NVM</x:v>
      </x:c>
      <x:c r="B55" s="23" t="str">
        <x:v>FMT-NEG-054</x:v>
      </x:c>
      <x:c r="C55" s="23" t="str">
        <x:v>Validate host consideration that Format NVM does not provide a method to change STS from one non-zero value to another non-zero value.</x:v>
      </x:c>
      <x:c r="D55" s="23" t="str">
        <x:v>Namespace currently formatted with STS non-zero; another different non-zero STS format is known.</x:v>
      </x:c>
      <x:c r="E55" s="23" t="str">
        <x:v>1. Identify current STS value. 2. Attempt Format NVM to format with different non-zero STS. 3. Check completion and Identify.</x:v>
      </x:c>
      <x:c r="F55" s="23" t="str">
        <x:v>Format NVM does not change STS to a different non-zero value; namespace management is required.</x:v>
      </x:c>
      <x:c r="G55" s="23" t="str">
        <x:v>Negative</x:v>
      </x:c>
      <x:c r="H55" s="23" t="str">
        <x:v>Storage Tag Size transition</x:v>
      </x:c>
      <x:c r="I55" s="23" t="str">
        <x:v>Error guessing</x:v>
      </x:c>
      <x:c r="J55" s="23" t="str">
        <x:v>P1</x:v>
      </x:c>
      <x:c r="K55" s="23" t="str">
        <x:v>R13</x:v>
      </x:c>
    </x:row>
    <x:row r="56">
      <x:c r="A56" s="23" t="str">
        <x:v>Format NVM with invalid reserved bits in CDW10 set</x:v>
      </x:c>
      <x:c r="B56" s="23" t="str">
        <x:v>FMT-NEG-055</x:v>
      </x:c>
      <x:c r="C56" s="23" t="str">
        <x:v>Set reserved bits in Command Dword 10 while all defined fields are otherwise valid.</x:v>
      </x:c>
      <x:c r="D56" s="23" t="str">
        <x:v>Raw NVMe admin command injection tool can set reserved bits.</x:v>
      </x:c>
      <x:c r="E56" s="23" t="str">
        <x:v>1. Build Format NVM command with valid Format Index/PI/MSET/PIL/SES and one reserved bit set. 2. Submit command. 3. Check completion and re-identify.</x:v>
      </x:c>
      <x:c r="F56" s="23" t="str">
        <x:v>Controller rejects command due to invalid field, and namespace format remains unchanged.</x:v>
      </x:c>
      <x:c r="G56" s="23" t="str">
        <x:v>Negative</x:v>
      </x:c>
      <x:c r="H56" s="23" t="str">
        <x:v>Reserved field validation</x:v>
      </x:c>
      <x:c r="I56" s="23" t="str">
        <x:v>Error guessing</x:v>
      </x:c>
      <x:c r="J56" s="23" t="str">
        <x:v>P0</x:v>
      </x:c>
      <x:c r="K56" s="23" t="str">
        <x:v>R14</x:v>
      </x:c>
    </x:row>
    <x:row r="57">
      <x:c r="A57" s="23" t="str">
        <x:v>Format with valid LBA format but incompatible metadata/PI combination</x:v>
      </x:c>
      <x:c r="B57" s="23" t="str">
        <x:v>FMT-NEG-056</x:v>
      </x:c>
      <x:c r="C57" s="23" t="str">
        <x:v>Request PI enabled on an LBA format whose metadata size cannot hold the selected protection information.</x:v>
      </x:c>
      <x:c r="D57" s="23" t="str">
        <x:v>Controller has at least one LBA format with metadata insufficient for selected PI, or simulator can emulate it.</x:v>
      </x:c>
      <x:c r="E57" s="23" t="str">
        <x:v>1. Identify metadata size and PI format requirements. 2. Submit Format NVM with incompatible PI/metadata selection. 3. Check completion.</x:v>
      </x:c>
      <x:c r="F57" s="23" t="str">
        <x:v>Controller aborts command; namespace remains unchanged.</x:v>
      </x:c>
      <x:c r="G57" s="23" t="str">
        <x:v>Negative</x:v>
      </x:c>
      <x:c r="H57" s="23" t="str">
        <x:v>PI and metadata compatibility</x:v>
      </x:c>
      <x:c r="I57" s="23" t="str">
        <x:v>Equivalence partitioning</x:v>
      </x:c>
      <x:c r="J57" s="23" t="str">
        <x:v>P0</x:v>
      </x:c>
      <x:c r="K57" s="23" t="str">
        <x:v>R4,R5,R7</x:v>
      </x:c>
    </x:row>
  </x:sheetData>
  <x:conditionalFormatting sqref="G2:G57">
    <x:cfRule type="expression" dxfId="0" priority="1">
      <x:formula>G2="Negative"</x:formula>
    </x:cfRule>
    <x:cfRule type="expression" dxfId="1" priority="2">
      <x:formula>G2="Positive"</x:formula>
    </x:cfRule>
    <x:cfRule type="expression" dxfId="2" priority="3">
      <x:formula>G2="Corner"</x:formula>
    </x:cfRule>
    <x:cfRule type="expression" dxfId="3" priority="4">
      <x:formula>G2="Exploratory"</x:formula>
    </x:cfRule>
  </x:conditionalFormatting>
  <x:conditionalFormatting sqref="J2:J57">
    <x:cfRule type="expression" dxfId="4" priority="5">
      <x:formula>J2="P0"</x:formula>
    </x:cfRule>
    <x:cfRule type="expression" dxfId="5" priority="6">
      <x:formula>J2="P1"</x:formula>
    </x:cfRule>
    <x:cfRule type="expression" dxfId="6" priority="7">
      <x:formula>J2="P2"</x:formula>
    </x:cfRule>
  </x:conditionalFormatting>
  <x:dataValidations count="2">
    <x:dataValidation type="list" sqref="G2:G57">
      <x:formula1>"Positive,Negative,Corner,Exploratory"</x:formula1>
    </x:dataValidation>
    <x:dataValidation type="list" sqref="J2:J57">
      <x:formula1>"P0,P1,P2"</x:formula1>
    </x:dataValidation>
  </x:dataValidations>
  <x:pageMargins left="0.7" right="0.7" top="0.75" bottom="0.75" header="0.3" footer="0.3"/>
  <x:tableParts count="1">
    <x:tablePart xmlns:r="http://schemas.openxmlformats.org/officeDocument/2006/relationships" r:id="R6f86c5734ca44770"/>
  </x:tableParts>
</x:worksheet>
</file>

<file path=xl/worksheets/sheet2.xml><?xml version="1.0" encoding="utf-8"?>
<x:worksheet xmlns:x="http://schemas.openxmlformats.org/spreadsheetml/2006/main">
  <x:sheetFormatPr defaultRowHeight="15"/>
  <x:cols>
    <x:col min="1" max="1" width="14" hidden="0" customWidth="1"/>
    <x:col min="2" max="2" width="52" hidden="0" customWidth="1"/>
    <x:col min="3" max="3" width="48" hidden="0" customWidth="1"/>
    <x:col min="4" max="4" width="52" hidden="0" customWidth="1"/>
    <x:col min="5" max="5" width="16" hidden="0" customWidth="1"/>
  </x:cols>
  <x:sheetData>
    <x:row r="1">
      <x:c r="A1" s="22" t="str">
        <x:v>Requirement ID</x:v>
      </x:c>
      <x:c r="B1" s="22" t="str">
        <x:v>Requirement / Coverage Item</x:v>
      </x:c>
      <x:c r="C1" s="22" t="str">
        <x:v>Primary Spec Basis</x:v>
      </x:c>
      <x:c r="D1" s="22" t="str">
        <x:v>Covered By Scenario Labels</x:v>
      </x:c>
      <x:c r="E1" s="22" t="str">
        <x:v>Coverage Status</x:v>
      </x:c>
    </x:row>
    <x:row r="2">
      <x:c r="A2" s="23" t="str">
        <x:v>R1</x:v>
      </x:c>
      <x:c r="B2" s="23" t="str">
        <x:v>Format NVM operates as defined by NVMe Base Specification with NVM Command Set specific behavior.</x:v>
      </x:c>
      <x:c r="C2" s="23" t="str">
        <x:v>Section 4.1.2 page 64: Format NVM command operates as defined in Base Specification; NVM-specific behavior follows.</x:v>
      </x:c>
      <x:c r="D2" s="23" t="str">
        <x:v>FMT-POS-001,FMT-POS-014,FMT-POS-017,FMT-NEG-036,FMT-NEG-037,FMT-NEG-038,FMT-NEG-039,FMT-EXP-045,FMT-EXP-046,FMT-EXP-047</x:v>
      </x:c>
      <x:c r="E2" s="23" t="str">
        <x:v>Covered</x:v>
      </x:c>
    </x:row>
    <x:row r="3">
      <x:c r="A3" s="23" t="str">
        <x:v>R2</x:v>
      </x:c>
      <x:c r="B3" s="23" t="str">
        <x:v>Format Index shall indicate a valid LBA Format from Identify Namespace LBA Format field/list.</x:v>
      </x:c>
      <x:c r="C3" s="23" t="str">
        <x:v>Section 4.1.2 page 64 and section 5.5 references.</x:v>
      </x:c>
      <x:c r="D3" s="23" t="str">
        <x:v>FMT-POS-001,FMT-BVA-002,FMT-BVA-003,FMT-NEG-024,FMT-POS-017,FMT-POS-018,FMT-COR-043,FMT-EXP-050</x:v>
      </x:c>
      <x:c r="E3" s="23" t="str">
        <x:v>Covered</x:v>
      </x:c>
    </x:row>
    <x:row r="4">
      <x:c r="A4" s="23" t="str">
        <x:v>R3</x:v>
      </x:c>
      <x:c r="B4" s="23" t="str">
        <x:v>If logical block size changes, resulting NSZE and NCAP may differ from pre-format values.</x:v>
      </x:c>
      <x:c r="C4" s="23" t="str">
        <x:v>Section 4.1.2 page 64.</x:v>
      </x:c>
      <x:c r="D4" s="23" t="str">
        <x:v>FMT-POS-004,FMT-POS-019,FMT-NEG-042,FMT-COR-048,FMT-COR-049</x:v>
      </x:c>
      <x:c r="E4" s="23" t="str">
        <x:v>Covered</x:v>
      </x:c>
    </x:row>
    <x:row r="5">
      <x:c r="A5" s="23" t="str">
        <x:v>R4</x:v>
      </x:c>
      <x:c r="B5" s="23" t="str">
        <x:v>PIL defines first/last metadata PI location and is constrained by DPC/DPS; NVM 1.0+ requires PIL cleared to 0.</x:v>
      </x:c>
      <x:c r="C5" s="23" t="str">
        <x:v>Figure 90 page 65.</x:v>
      </x:c>
      <x:c r="D5" s="23" t="str">
        <x:v>FMT-POS-010,FMT-POS-011,FMT-POS-012,FMT-COR-013,FMT-NEG-030,FMT-POS-019</x:v>
      </x:c>
      <x:c r="E5" s="23" t="str">
        <x:v>Covered</x:v>
      </x:c>
    </x:row>
    <x:row r="6">
      <x:c r="A6" s="23" t="str">
        <x:v>R5</x:v>
      </x:c>
      <x:c r="B6" s="23" t="str">
        <x:v>PI field enables none, Type 1, Type 2, Type 3; 100b-111b are reserved; PI affects Copy/Read/Verify/Write/Compare.</x:v>
      </x:c>
      <x:c r="C6" s="23" t="str">
        <x:v>Figure 90 page 65.</x:v>
      </x:c>
      <x:c r="D6" s="23" t="str">
        <x:v>FMT-POS-009,FMT-POS-010,FMT-POS-011,FMT-POS-012,FMT-NEG-025,FMT-NEG-026,FMT-NEG-027,FMT-NEG-028,FMT-NEG-029,FMT-POS-051,FMT-NEG-052,FMT-NEG-056</x:v>
      </x:c>
      <x:c r="E6" s="23" t="str">
        <x:v>Covered</x:v>
      </x:c>
    </x:row>
    <x:row r="7">
      <x:c r="A7" s="23" t="str">
        <x:v>R6</x:v>
      </x:c>
      <x:c r="B7" s="23" t="str">
        <x:v>DPS reports protection settings selected by Format NVM.</x:v>
      </x:c>
      <x:c r="C7" s="23" t="str">
        <x:v>Figure 90 page 65 and Identify Namespace reference.</x:v>
      </x:c>
      <x:c r="D7" s="23" t="str">
        <x:v>FMT-POS-001,FMT-POS-010,FMT-POS-019</x:v>
      </x:c>
      <x:c r="E7" s="23" t="str">
        <x:v>Covered</x:v>
      </x:c>
    </x:row>
    <x:row r="8">
      <x:c r="A8" s="23" t="str">
        <x:v>R7</x:v>
      </x:c>
      <x:c r="B8" s="23" t="str">
        <x:v>MSET selects extended LBA vs separate metadata buffer; if selected Metadata Size is 0h, controller ignores MSET.</x:v>
      </x:c>
      <x:c r="C8" s="23" t="str">
        <x:v>Figure 90 page 65.</x:v>
      </x:c>
      <x:c r="D8" s="23" t="str">
        <x:v>FMT-POS-005,FMT-COR-006,FMT-POS-007,FMT-POS-008,FMT-NEG-041,FMT-POS-019,FMT-NEG-056</x:v>
      </x:c>
      <x:c r="E8" s="23" t="str">
        <x:v>Covered</x:v>
      </x:c>
    </x:row>
    <x:row r="9">
      <x:c r="A9" s="23" t="str">
        <x:v>R8</x:v>
      </x:c>
      <x:c r="B9" s="23" t="str">
        <x:v>Format NVM may allocate/deallocate logical blocks; NUSE-only changes should not generate certain namespace attribute AERs.</x:v>
      </x:c>
      <x:c r="C9" s="23" t="str">
        <x:v>Section 2.1 page 13 and AER behavior page 64.</x:v>
      </x:c>
      <x:c r="D9" s="23" t="str">
        <x:v>FMT-POS-001,FMT-POS-020,FMT-COR-021</x:v>
      </x:c>
      <x:c r="E9" s="23" t="str">
        <x:v>Covered</x:v>
      </x:c>
    </x:row>
    <x:row r="10">
      <x:c r="A10" s="23" t="str">
        <x:v>R9</x:v>
      </x:c>
      <x:c r="B10" s="23" t="str">
        <x:v>If LBAFEE is not enabled, certain extended PI formats must abort with Invalid Namespace or Format.</x:v>
      </x:c>
      <x:c r="C10" s="23" t="str">
        <x:v>Section 4.1.2 page 65.</x:v>
      </x:c>
      <x:c r="D10" s="23" t="str">
        <x:v>FMT-NEG-031,FMT-NEG-032,FMT-NEG-033,FMT-POS-023,FMT-EXP-050</x:v>
      </x:c>
      <x:c r="E10" s="23" t="str">
        <x:v>Covered</x:v>
      </x:c>
    </x:row>
    <x:row r="11">
      <x:c r="A11" s="23" t="str">
        <x:v>R10</x:v>
      </x:c>
      <x:c r="B11" s="23" t="str">
        <x:v>If LBAFEE=1, STS non-zero format across affected namespaces requires same LBA format or abort with Invalid Namespace or Format.</x:v>
      </x:c>
      <x:c r="C11" s="23" t="str">
        <x:v>Section 4.1.2 page 65.</x:v>
      </x:c>
      <x:c r="D11" s="23" t="str">
        <x:v>FMT-POS-018,FMT-POS-023,FMT-NEG-034</x:v>
      </x:c>
      <x:c r="E11" s="23" t="str">
        <x:v>Covered</x:v>
      </x:c>
    </x:row>
    <x:row r="12">
      <x:c r="A12" s="23" t="str">
        <x:v>R11</x:v>
      </x:c>
      <x:c r="B12" s="23" t="str">
        <x:v>With FDP enabled, shared RUH plus mismatching Format Index must abort with Invalid Format.</x:v>
      </x:c>
      <x:c r="C12" s="23" t="str">
        <x:v>Section 4.1.2 page 65.</x:v>
      </x:c>
      <x:c r="D12" s="23" t="str">
        <x:v>FMT-POS-022,FMT-NEG-035,FMT-EXP-050</x:v>
      </x:c>
      <x:c r="E12" s="23" t="str">
        <x:v>Covered</x:v>
      </x:c>
    </x:row>
    <x:row r="13">
      <x:c r="A13" s="23" t="str">
        <x:v>R12</x:v>
      </x:c>
      <x:c r="B13" s="23" t="str">
        <x:v>AER notices include namespace attribute changed limitations and LBA status alert behavior.</x:v>
      </x:c>
      <x:c r="C13" s="23" t="str">
        <x:v>Figure 89 page 64.</x:v>
      </x:c>
      <x:c r="D13" s="23" t="str">
        <x:v>FMT-COR-021</x:v>
      </x:c>
      <x:c r="E13" s="23" t="str">
        <x:v>Covered</x:v>
      </x:c>
    </x:row>
    <x:row r="14">
      <x:c r="A14" s="23" t="str">
        <x:v>R13</x:v>
      </x:c>
      <x:c r="B14" s="23" t="str">
        <x:v>Format NVM does not provide method to change STS from 0 to non-zero or from one non-zero to another non-zero.</x:v>
      </x:c>
      <x:c r="C14" s="23" t="str">
        <x:v>Section 5.3.1.4.2 page 140.</x:v>
      </x:c>
      <x:c r="D14" s="23" t="str">
        <x:v>FMT-NEG-053,FMT-NEG-054</x:v>
      </x:c>
      <x:c r="E14" s="23" t="str">
        <x:v>Covered</x:v>
      </x:c>
    </x:row>
    <x:row r="15">
      <x:c r="A15" s="23" t="str">
        <x:v>R14</x:v>
      </x:c>
      <x:c r="B15" s="23" t="str">
        <x:v>Reserved fields/bits shall not be used by compliant host and should be rejected if set.</x:v>
      </x:c>
      <x:c r="C15" s="23" t="str">
        <x:v>Derived from NVMe command field convention and Figure 90 defined-bit coverage.</x:v>
      </x:c>
      <x:c r="D15" s="23" t="str">
        <x:v>FMT-NEG-055</x:v>
      </x:c>
      <x:c r="E15" s="23" t="str">
        <x:v>Covered</x:v>
      </x:c>
    </x:row>
  </x:sheetData>
  <x:pageMargins left="0.7" right="0.7" top="0.75" bottom="0.75" header="0.3" footer="0.3"/>
  <x:tableParts count="1">
    <x:tablePart xmlns:r="http://schemas.openxmlformats.org/officeDocument/2006/relationships" r:id="Ref20cfa8af084334"/>
  </x:tableParts>
</x:worksheet>
</file>

<file path=xl/worksheets/sheet3.xml><?xml version="1.0" encoding="utf-8"?>
<x:worksheet xmlns:x="http://schemas.openxmlformats.org/spreadsheetml/2006/main">
  <x:sheetFormatPr defaultRowHeight="15"/>
  <x:cols>
    <x:col min="1" max="1" width="28" hidden="0" customWidth="1"/>
    <x:col min="2" max="2" width="58" hidden="0" customWidth="1"/>
    <x:col min="3" max="3" width="52" hidden="0" customWidth="1"/>
    <x:col min="4" max="4" width="20" hidden="0" customWidth="1"/>
  </x:cols>
  <x:sheetData>
    <x:row r="1">
      <x:c r="A1" s="22" t="str">
        <x:v>Field/Concept</x:v>
      </x:c>
      <x:c r="B1" s="22" t="str">
        <x:v>Defined Values / Behavior</x:v>
      </x:c>
      <x:c r="C1" s="22" t="str">
        <x:v>Test Impact</x:v>
      </x:c>
      <x:c r="D1" s="22" t="str">
        <x:v>Spec Location</x:v>
      </x:c>
    </x:row>
    <x:row r="2">
      <x:c r="A2" s="23" t="str">
        <x:v>Format Index</x:v>
      </x:c>
      <x:c r="B2" s="23" t="str">
        <x:v>Valid LBA Format selected from Identify Namespace LBA Format list / LBA Format List Structure.</x:v>
      </x:c>
      <x:c r="C2" s="23" t="str">
        <x:v>Test min, max, current, all valid formats, invalid out-of-range index.</x:v>
      </x:c>
      <x:c r="D2" s="23" t="str">
        <x:v>4.1.2 p64; 5.5</x:v>
      </x:c>
    </x:row>
    <x:row r="3">
      <x:c r="A3" s="23" t="str">
        <x:v>Logical block size change</x:v>
      </x:c>
      <x:c r="B3" s="23" t="str">
        <x:v>NSZE and NCAP may differ after format if logical block size changes.</x:v>
      </x:c>
      <x:c r="C3" s="23" t="str">
        <x:v>Post-format Identify must be refreshed; stale host assumptions are negative tests.</x:v>
      </x:c>
      <x:c r="D3" s="23" t="str">
        <x:v>4.1.2 p64</x:v>
      </x:c>
    </x:row>
    <x:row r="4">
      <x:c r="A4" s="23" t="str">
        <x:v>PIL bit 08</x:v>
      </x:c>
      <x:c r="B4" s="23" t="str">
        <x:v>PI first bytes of metadata if 1, last bytes if 0 when PI enabled; constrained by DPC/DPS; shall be 0 for NVM Command Set 1.0+.</x:v>
      </x:c>
      <x:c r="C4" s="23" t="str">
        <x:v>Positive with PIL=0; negative/compliance check for PIL=1.</x:v>
      </x:c>
      <x:c r="D4" s="23" t="str">
        <x:v>Figure 90 p65</x:v>
      </x:c>
    </x:row>
    <x:row r="5">
      <x:c r="A5" s="23" t="str">
        <x:v>PI bits 07:05</x:v>
      </x:c>
      <x:c r="B5" s="23" t="str">
        <x:v>000b none; 001b Type 1; 010b Type 2; 011b Type 3; 100b-111b reserved.</x:v>
      </x:c>
      <x:c r="C5" s="23" t="str">
        <x:v>Enable each supported PI type; reject unsupported or reserved values.</x:v>
      </x:c>
      <x:c r="D5" s="23" t="str">
        <x:v>Figure 90 p65</x:v>
      </x:c>
    </x:row>
    <x:row r="6">
      <x:c r="A6" s="23" t="str">
        <x:v>MSET bit 04</x:v>
      </x:c>
      <x:c r="B6" s="23" t="str">
        <x:v>1 = metadata transferred as part of extended data LBA; 0 = separate metadata buffer; ignored when Metadata Size=0h.</x:v>
      </x:c>
      <x:c r="C6" s="23" t="str">
        <x:v>Test both metadata modes and MSET ignored boundary for metadata size zero.</x:v>
      </x:c>
      <x:c r="D6" s="23" t="str">
        <x:v>Figure 90 p65</x:v>
      </x:c>
    </x:row>
    <x:row r="7">
      <x:c r="A7" s="23" t="str">
        <x:v>LBAFEE</x:v>
      </x:c>
      <x:c r="B7" s="23" t="str">
        <x:v>If not set, 16b Guard with STS non-zero, 32b Guard, and 64b Guard formats abort with Invalid Namespace or Format.</x:v>
      </x:c>
      <x:c r="C7" s="23" t="str">
        <x:v>Negative tests for LBAFEE=0; consistency tests for LBAFEE=1.</x:v>
      </x:c>
      <x:c r="D7" s="23" t="str">
        <x:v>4.1.2 p65</x:v>
      </x:c>
    </x:row>
    <x:row r="8">
      <x:c r="A8" s="23" t="str">
        <x:v>STS non-zero consistency</x:v>
      </x:c>
      <x:c r="B8" s="23" t="str">
        <x:v>If LBAFEE=1 and specified format has STS non-zero, every namespace affected must already be formatted with that same LBA format.</x:v>
      </x:c>
      <x:c r="C8" s="23" t="str">
        <x:v>Multi-namespace positive/negative scope tests.</x:v>
      </x:c>
      <x:c r="D8" s="23" t="str">
        <x:v>4.1.2 p65</x:v>
      </x:c>
    </x:row>
    <x:row r="9">
      <x:c r="A9" s="23" t="str">
        <x:v>FDP shared RUH</x:v>
      </x:c>
      <x:c r="B9" s="23" t="str">
        <x:v>If FDP enabled and shared Reclaim Unit Handle exists, mismatching Format Index against other namespaces aborts with Invalid Format.</x:v>
      </x:c>
      <x:c r="C9" s="23" t="str">
        <x:v>Positive matching and negative mismatch tests.</x:v>
      </x:c>
      <x:c r="D9" s="23" t="str">
        <x:v>4.1.2 p65</x:v>
      </x:c>
    </x:row>
    <x:row r="10">
      <x:c r="A10" s="23" t="str">
        <x:v>Allocation/deallocation</x:v>
      </x:c>
      <x:c r="B10" s="23" t="str">
        <x:v>Format NVM may allocate or deallocate logical blocks.</x:v>
      </x:c>
      <x:c r="C10" s="23" t="str">
        <x:v>NUSE/allocation tests and post-format data state checks.</x:v>
      </x:c>
      <x:c r="D10" s="23" t="str">
        <x:v>2.1 p13</x:v>
      </x:c>
    </x:row>
    <x:row r="11">
      <x:c r="A11" s="23" t="str">
        <x:v>AER namespace attribute notices</x:v>
      </x:c>
      <x:c r="B11" s="23" t="str">
        <x:v>Controller shall not send attached/allocated namespace attribute changed solely for NUSE change or ANA capacity effects.</x:v>
      </x:c>
      <x:c r="C11" s="23" t="str">
        <x:v>AER non-event test for NUSE-only change.</x:v>
      </x:c>
      <x:c r="D11" s="23" t="str">
        <x:v>4.1 p64</x:v>
      </x:c>
    </x:row>
    <x:row r="12">
      <x:c r="A12" s="23" t="str">
        <x:v>PI downstream commands</x:v>
      </x:c>
      <x:c r="B12" s="23" t="str">
        <x:v>If end-to-end data protection enabled, host specifies appropriate PI in Copy, Read, Verify, Write, Compare.</x:v>
      </x:c>
      <x:c r="C12" s="23" t="str">
        <x:v>Post-format functional and error injection tests.</x:v>
      </x:c>
      <x:c r="D12" s="23" t="str">
        <x:v>Figure 90 p65</x:v>
      </x:c>
    </x:row>
    <x:row r="13">
      <x:c r="A13" s="23" t="str">
        <x:v>STS transition limitation</x:v>
      </x:c>
      <x:c r="B13" s="23" t="str">
        <x:v>Format NVM does not provide a method to change STS 0 to non-zero or one non-zero value to another.</x:v>
      </x:c>
      <x:c r="C13" s="23" t="str">
        <x:v>Negative tests; use namespace management for STS changes.</x:v>
      </x:c>
      <x:c r="D13" s="23" t="str">
        <x:v>5.3.1.4.2 p140</x:v>
      </x:c>
    </x:row>
  </x:sheetData>
  <x:pageMargins left="0.7" right="0.7" top="0.75" bottom="0.75" header="0.3" footer="0.3"/>
  <x:tableParts count="1">
    <x:tablePart xmlns:r="http://schemas.openxmlformats.org/officeDocument/2006/relationships" r:id="R0627171fb2b54f0d"/>
  </x:tableParts>
</x:worksheet>
</file>

<file path=xl/worksheets/sheet4.xml><?xml version="1.0" encoding="utf-8"?>
<x:worksheet xmlns:x="http://schemas.openxmlformats.org/spreadsheetml/2006/main">
  <x:sheetFormatPr defaultRowHeight="15"/>
  <x:cols>
    <x:col min="1" max="1" width="26" hidden="0" customWidth="1"/>
    <x:col min="2" max="2" width="90" hidden="0" customWidth="1"/>
  </x:cols>
  <x:sheetData>
    <x:row r="1" ht="28" customHeight="1">
      <x:c r="A1" s="26" t="str">
        <x:v>NVMe Format NVM Command Test Scenario Suite</x:v>
      </x:c>
      <x:c r="B1" s="26"/>
      <x:c r="C1" s="16"/>
      <x:c r="D1" s="16"/>
      <x:c r="E1" s="16"/>
      <x:c r="F1" s="16"/>
    </x:row>
    <x:row r="2">
      <x:c r="A2" s="23" t="str">
        <x:v>Source File</x:v>
      </x:c>
      <x:c r="B2" s="23" t="str">
        <x:v>NVM-Express-NVM-Command-Set-Specification-Revision-1.2-2025.08.01-Ratified.pdf</x:v>
      </x:c>
    </x:row>
    <x:row r="3">
      <x:c r="A3" s="23" t="str">
        <x:v>Scope</x:v>
      </x:c>
      <x:c r="B3" s="23" t="str">
        <x:v>Section 4.1.2 Format NVM command (pages 64-65), related Figure 90 CDW10 fields, and cross-referenced requirements for Identify, PI, metadata, LBAFEE, FDP, allocation/deallocation, and AER behavior.</x:v>
      </x:c>
    </x:row>
    <x:row r="4">
      <x:c r="A4" s="23" t="str">
        <x:v>Generation Date</x:v>
      </x:c>
      <x:c r="B4" s="23" t="str">
        <x:v>2026-05-03 15:19</x:v>
      </x:c>
    </x:row>
    <x:row r="5">
      <x:c r="A5" s="27"/>
      <x:c r="B5" s="27"/>
    </x:row>
    <x:row r="6">
      <x:c r="A6" s="28" t="str">
        <x:v>Metric</x:v>
      </x:c>
      <x:c r="B6" s="28" t="str">
        <x:v>Value</x:v>
      </x:c>
    </x:row>
    <x:row r="7">
      <x:c r="A7" s="23" t="str">
        <x:v>Total scenarios</x:v>
      </x:c>
      <x:c r="B7" s="23" t="n">
        <x:v>56</x:v>
      </x:c>
    </x:row>
    <x:row r="8">
      <x:c r="A8" s="23" t="str">
        <x:v>Positive scenarios</x:v>
      </x:c>
      <x:c r="B8" s="23" t="n">
        <x:f>COUNTIF('Test Scenarios'!G2:G200,"Positive")</x:f>
        <x:v>19</x:v>
      </x:c>
    </x:row>
    <x:row r="9">
      <x:c r="A9" s="23" t="str">
        <x:v>Negative scenarios</x:v>
      </x:c>
      <x:c r="B9" s="23" t="n">
        <x:f>COUNTIF('Test Scenarios'!G2:G200,"Negative")</x:f>
        <x:v>24</x:v>
      </x:c>
    </x:row>
    <x:row r="10">
      <x:c r="A10" s="23" t="str">
        <x:v>Corner scenarios</x:v>
      </x:c>
      <x:c r="B10" s="23" t="n">
        <x:f>COUNTIF('Test Scenarios'!G2:G200,"Corner")</x:f>
        <x:v>8</x:v>
      </x:c>
    </x:row>
    <x:row r="11">
      <x:c r="A11" s="23" t="str">
        <x:v>Exploratory scenarios</x:v>
      </x:c>
      <x:c r="B11" s="23" t="n">
        <x:f>COUNTIF('Test Scenarios'!G2:G200,"Exploratory")</x:f>
        <x:v>5</x:v>
      </x:c>
    </x:row>
    <x:row r="12">
      <x:c r="A12" s="23" t="str">
        <x:v>P0 scenarios</x:v>
      </x:c>
      <x:c r="B12" s="23" t="n">
        <x:f>COUNTIF('Test Scenarios'!J2:J200,"P0")</x:f>
        <x:v>24</x:v>
      </x:c>
    </x:row>
  </x:sheetData>
  <x:mergeCells>
    <x:mergeCell ref="A1:F1"/>
  </x:mergeCells>
  <x:pageMargins left="0.7" right="0.7" top="0.75" bottom="0.75" header="0.3" footer="0.3"/>
</x:worksheet>
</file>